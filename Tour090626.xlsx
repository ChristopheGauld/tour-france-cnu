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ristophe/Desktop/"/>
    </mc:Choice>
  </mc:AlternateContent>
  <xr:revisionPtr revIDLastSave="0" documentId="8_{81AB6536-D311-EE4C-AA95-34E5161CE93D}" xr6:coauthVersionLast="47" xr6:coauthVersionMax="47" xr10:uidLastSave="{00000000-0000-0000-0000-000000000000}"/>
  <bookViews>
    <workbookView xWindow="0" yWindow="760" windowWidth="29400" windowHeight="17120" xr2:uid="{B74A574F-3E1E-9A43-B1E6-7D132117C362}"/>
  </bookViews>
  <sheets>
    <sheet name="TourUFrance" sheetId="1" r:id="rId1"/>
  </sheets>
  <definedNames>
    <definedName name="_xlnm._FilterDatabase" localSheetId="0" hidden="1">TourUFrance!$A$1:$T$94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2" i="1" l="1"/>
  <c r="K78" i="1"/>
  <c r="K11" i="1"/>
  <c r="K29" i="1"/>
  <c r="K19" i="1"/>
  <c r="K71" i="1"/>
  <c r="K46" i="1"/>
  <c r="K74" i="1"/>
  <c r="K73" i="1"/>
  <c r="K26" i="1"/>
  <c r="K54" i="1"/>
  <c r="K66" i="1"/>
  <c r="K89" i="1"/>
  <c r="K90" i="1"/>
  <c r="K91" i="1"/>
  <c r="K92" i="1"/>
  <c r="K93" i="1"/>
  <c r="K75" i="1"/>
  <c r="K76" i="1"/>
  <c r="K77" i="1"/>
  <c r="K79" i="1"/>
  <c r="K80" i="1"/>
  <c r="K81" i="1"/>
  <c r="K83" i="1"/>
  <c r="K84" i="1"/>
  <c r="K85" i="1"/>
  <c r="K87" i="1"/>
  <c r="K88" i="1"/>
  <c r="K62" i="1"/>
  <c r="K7" i="1"/>
  <c r="K8" i="1"/>
  <c r="K9" i="1"/>
  <c r="K10" i="1"/>
  <c r="K17" i="1"/>
  <c r="K18" i="1"/>
  <c r="K32" i="1"/>
  <c r="K33" i="1"/>
  <c r="K35" i="1"/>
  <c r="K42" i="1"/>
  <c r="K43" i="1"/>
  <c r="K44" i="1"/>
  <c r="K51" i="1"/>
  <c r="K47" i="1"/>
  <c r="K49" i="1"/>
  <c r="K52" i="1"/>
  <c r="K53" i="1"/>
  <c r="K55" i="1"/>
  <c r="K57" i="1"/>
  <c r="K58" i="1"/>
  <c r="K59" i="1"/>
  <c r="K60" i="1"/>
  <c r="K61" i="1"/>
  <c r="K63" i="1"/>
  <c r="K64" i="1"/>
  <c r="K65" i="1"/>
  <c r="K68" i="1"/>
  <c r="K69" i="1"/>
  <c r="K70" i="1"/>
  <c r="K72" i="1"/>
  <c r="K45" i="1"/>
  <c r="K41" i="1"/>
  <c r="K40" i="1"/>
  <c r="K39" i="1"/>
  <c r="K38" i="1"/>
  <c r="K36" i="1"/>
  <c r="K37" i="1"/>
  <c r="K34" i="1"/>
  <c r="K31" i="1"/>
  <c r="K28" i="1"/>
  <c r="K27" i="1"/>
  <c r="K25" i="1"/>
  <c r="K24" i="1"/>
  <c r="K23" i="1"/>
  <c r="K22" i="1"/>
  <c r="K21" i="1"/>
  <c r="K20" i="1"/>
  <c r="K16" i="1"/>
  <c r="K15" i="1"/>
  <c r="K14" i="1"/>
  <c r="K4" i="1"/>
  <c r="K5" i="1"/>
  <c r="K6" i="1"/>
  <c r="K12" i="1"/>
  <c r="K13" i="1"/>
  <c r="K3" i="1"/>
  <c r="K2" i="1"/>
</calcChain>
</file>

<file path=xl/sharedStrings.xml><?xml version="1.0" encoding="utf-8"?>
<sst xmlns="http://schemas.openxmlformats.org/spreadsheetml/2006/main" count="760" uniqueCount="357">
  <si>
    <t>Région</t>
  </si>
  <si>
    <t>Université</t>
  </si>
  <si>
    <t>Nom</t>
  </si>
  <si>
    <t>Prénom</t>
  </si>
  <si>
    <t>Corps</t>
  </si>
  <si>
    <t>Grade</t>
  </si>
  <si>
    <t>Ancienneté de grade</t>
  </si>
  <si>
    <t>Echelon</t>
  </si>
  <si>
    <t>date échelon</t>
  </si>
  <si>
    <t>DDN</t>
  </si>
  <si>
    <t>Âge</t>
  </si>
  <si>
    <t>Nomination</t>
  </si>
  <si>
    <t>Départ</t>
  </si>
  <si>
    <t>DU pédago</t>
  </si>
  <si>
    <t>PhD</t>
  </si>
  <si>
    <t>HDR</t>
  </si>
  <si>
    <t>Mobilité</t>
  </si>
  <si>
    <t>Titre visé</t>
  </si>
  <si>
    <t>Dernier CNU_date</t>
  </si>
  <si>
    <t>Dernier CNU_type</t>
  </si>
  <si>
    <t>mails</t>
  </si>
  <si>
    <t>tel</t>
  </si>
  <si>
    <t>Île-de-France</t>
  </si>
  <si>
    <t>Paris Cité</t>
  </si>
  <si>
    <t>Chaste</t>
  </si>
  <si>
    <t>Pauline</t>
  </si>
  <si>
    <t>PU-PH</t>
  </si>
  <si>
    <t>PU-PH 2C</t>
  </si>
  <si>
    <t>2042-2044</t>
  </si>
  <si>
    <t>Oui</t>
  </si>
  <si>
    <t>CNU PU-PH</t>
  </si>
  <si>
    <t>Corcos</t>
  </si>
  <si>
    <t>Maurice</t>
  </si>
  <si>
    <t>PU-PH Ex2</t>
  </si>
  <si>
    <t>Moro</t>
  </si>
  <si>
    <t>Marie-Rose</t>
  </si>
  <si>
    <t>Delorme</t>
  </si>
  <si>
    <t>Richard</t>
  </si>
  <si>
    <t>2038-2040</t>
  </si>
  <si>
    <t>Revah-Levy</t>
  </si>
  <si>
    <t>Anne</t>
  </si>
  <si>
    <t>PU-PH 1C</t>
  </si>
  <si>
    <t>2032-2034</t>
  </si>
  <si>
    <t>Sibeoni</t>
  </si>
  <si>
    <t>Jordan</t>
  </si>
  <si>
    <t>2049-51</t>
  </si>
  <si>
    <t>Piot</t>
  </si>
  <si>
    <t>Marie-Aude</t>
  </si>
  <si>
    <t>MCU-PH</t>
  </si>
  <si>
    <t>MCU-PH 2C</t>
  </si>
  <si>
    <t>2047-49</t>
  </si>
  <si>
    <t>oui</t>
  </si>
  <si>
    <t>non</t>
  </si>
  <si>
    <t>CNU MCU-PH</t>
  </si>
  <si>
    <t>Quiite Necker et va à la FSEF, attente poste Marie Rose pour maison de Solenn avec unité de santé de l'adolescent avec un PU pédo et un PU pédiatre</t>
  </si>
  <si>
    <t>Ellul</t>
  </si>
  <si>
    <t>Pierre</t>
  </si>
  <si>
    <t>2052-54</t>
  </si>
  <si>
    <t>aura PU pour 09/2027 voir pré CNU en 26</t>
  </si>
  <si>
    <t>Robin</t>
  </si>
  <si>
    <t>Marion</t>
  </si>
  <si>
    <t>PH</t>
  </si>
  <si>
    <t>CNU suivi</t>
  </si>
  <si>
    <t>aura PU pour 09/2028 voir pré CNU en 27</t>
  </si>
  <si>
    <t>Radjack</t>
  </si>
  <si>
    <t>Rameth</t>
  </si>
  <si>
    <t>pas de poste pour l'instant, refus doyenne</t>
  </si>
  <si>
    <t xml:space="preserve">Sorbonne Université
</t>
  </si>
  <si>
    <t>Cohen</t>
  </si>
  <si>
    <t>David</t>
  </si>
  <si>
    <t>2029-2031</t>
  </si>
  <si>
    <t>Manesse-Consoli</t>
  </si>
  <si>
    <t>Angèle</t>
  </si>
  <si>
    <t>2037-2039</t>
  </si>
  <si>
    <t>Benarous</t>
  </si>
  <si>
    <t>Xavier</t>
  </si>
  <si>
    <t>2051-53</t>
  </si>
  <si>
    <t>pré CNU</t>
  </si>
  <si>
    <t>Laurent</t>
  </si>
  <si>
    <t>Claudine</t>
  </si>
  <si>
    <t>MCU-PH HC</t>
  </si>
  <si>
    <t>2028-2030</t>
  </si>
  <si>
    <t xml:space="preserve">Sorbonne Paris Nord
</t>
  </si>
  <si>
    <t>Baubet</t>
  </si>
  <si>
    <t>Thierry</t>
  </si>
  <si>
    <t xml:space="preserve">Lui demander de soutenir la création d'un poste pour Rahmet </t>
  </si>
  <si>
    <t>Rezzoug</t>
  </si>
  <si>
    <t>Dalila</t>
  </si>
  <si>
    <t>MCU-PH 1C</t>
  </si>
  <si>
    <t>2030-32</t>
  </si>
  <si>
    <t>Taïeb</t>
  </si>
  <si>
    <t>Olivier</t>
  </si>
  <si>
    <t>PA</t>
  </si>
  <si>
    <t>2029-31</t>
  </si>
  <si>
    <t>Paris Saclay</t>
  </si>
  <si>
    <t>Shadili</t>
  </si>
  <si>
    <t>Gérard</t>
  </si>
  <si>
    <t>PA-T</t>
  </si>
  <si>
    <t>Pré-CNU</t>
  </si>
  <si>
    <t>Nommé PA-T  Septembre 2026</t>
  </si>
  <si>
    <t>Bonnot</t>
  </si>
  <si>
    <t>?</t>
  </si>
  <si>
    <t>2012/2023</t>
  </si>
  <si>
    <t>2033-2035</t>
  </si>
  <si>
    <t>Jousselme</t>
  </si>
  <si>
    <t>Catherine</t>
  </si>
  <si>
    <t>2026-28</t>
  </si>
  <si>
    <t>Speranza</t>
  </si>
  <si>
    <t>Mario</t>
  </si>
  <si>
    <t>Godart</t>
  </si>
  <si>
    <t>Nathalie</t>
  </si>
  <si>
    <t>2031-2033</t>
  </si>
  <si>
    <t>Lefevre</t>
  </si>
  <si>
    <t>Aline</t>
  </si>
  <si>
    <t>Bourion Bédès</t>
  </si>
  <si>
    <t>Stéphanie</t>
  </si>
  <si>
    <t>aura PU pour 09/2027 voir pré CNU en avril 26 fait</t>
  </si>
  <si>
    <t>Baptista</t>
  </si>
  <si>
    <t>Axel</t>
  </si>
  <si>
    <t>PHU</t>
  </si>
  <si>
    <t>2050-52</t>
  </si>
  <si>
    <t>aura MCU pour 09/2026 voir CNU en 26 juin</t>
  </si>
  <si>
    <t>Bourgin</t>
  </si>
  <si>
    <t>Julie</t>
  </si>
  <si>
    <t>2046-48</t>
  </si>
  <si>
    <t>aura PU pour 09/2026 voir pré CNU en 26 juin</t>
  </si>
  <si>
    <t>Phan</t>
  </si>
  <si>
    <t>UPEC</t>
  </si>
  <si>
    <t>Baleyte</t>
  </si>
  <si>
    <t>Jean Marc</t>
  </si>
  <si>
    <t>PU-PH Ex1</t>
  </si>
  <si>
    <t>Benoit</t>
  </si>
  <si>
    <t>Laelia</t>
  </si>
  <si>
    <t>Aura MCU-A en sept 2026 pré CNU Avril 2026</t>
  </si>
  <si>
    <t>Bourgogne France Comté</t>
  </si>
  <si>
    <t>Besançon</t>
  </si>
  <si>
    <t>Vulliez Coady</t>
  </si>
  <si>
    <t>Lauriane</t>
  </si>
  <si>
    <t>Dijon</t>
  </si>
  <si>
    <t>Mottolese</t>
  </si>
  <si>
    <t>Raphaëlle</t>
  </si>
  <si>
    <t>Sera MCU-PH en 09/2026</t>
  </si>
  <si>
    <t>Pinoit</t>
  </si>
  <si>
    <t>Jean Michel</t>
  </si>
  <si>
    <t>2045-47</t>
  </si>
  <si>
    <t>Haut de France</t>
  </si>
  <si>
    <t>Amiens</t>
  </si>
  <si>
    <t>Guilé</t>
  </si>
  <si>
    <t>émérite</t>
  </si>
  <si>
    <t>Lahaye</t>
  </si>
  <si>
    <t>Hélène</t>
  </si>
  <si>
    <t>2054-56</t>
  </si>
  <si>
    <t>A contacter pour suivi</t>
  </si>
  <si>
    <t>Lille</t>
  </si>
  <si>
    <t>Medjkane</t>
  </si>
  <si>
    <t>François</t>
  </si>
  <si>
    <t>Jardri</t>
  </si>
  <si>
    <t>Renaud</t>
  </si>
  <si>
    <t>2041-2043</t>
  </si>
  <si>
    <t>Notredame</t>
  </si>
  <si>
    <t>Charles Edouard</t>
  </si>
  <si>
    <t>CNU 2024</t>
  </si>
  <si>
    <t>Auvergne Rhône Alpes</t>
  </si>
  <si>
    <t>Lyon</t>
  </si>
  <si>
    <t>Georgieff</t>
  </si>
  <si>
    <t>Nicolas</t>
  </si>
  <si>
    <t>2027 ?</t>
  </si>
  <si>
    <t>Viaud</t>
  </si>
  <si>
    <t>Sylvie</t>
  </si>
  <si>
    <t>2039-41</t>
  </si>
  <si>
    <t>Fourneret</t>
  </si>
  <si>
    <t xml:space="preserve">en dispo pendant 2 ans </t>
  </si>
  <si>
    <t>Jurek</t>
  </si>
  <si>
    <t>Lucie</t>
  </si>
  <si>
    <t>2056-58</t>
  </si>
  <si>
    <t>à revoir en 2026 pour PU 2027, fin PHU en 09/26</t>
  </si>
  <si>
    <t>Gauld</t>
  </si>
  <si>
    <t>Christophe</t>
  </si>
  <si>
    <t>2055-57</t>
  </si>
  <si>
    <t>CNU</t>
  </si>
  <si>
    <t>pré CNU 2027 nomination pour 2028</t>
  </si>
  <si>
    <t>Geoffray</t>
  </si>
  <si>
    <t>Marie Maud</t>
  </si>
  <si>
    <t>2043-45</t>
  </si>
  <si>
    <t>à voir pour parler de PA de territoire?</t>
  </si>
  <si>
    <t>Grenoble</t>
  </si>
  <si>
    <t>Bioulac</t>
  </si>
  <si>
    <t>2035-2037</t>
  </si>
  <si>
    <t>Clermont</t>
  </si>
  <si>
    <t>SIBUT</t>
  </si>
  <si>
    <t>Romain</t>
  </si>
  <si>
    <t>Lachal</t>
  </si>
  <si>
    <t>Jonathan</t>
  </si>
  <si>
    <t>2048-50</t>
  </si>
  <si>
    <t>St Etienne</t>
  </si>
  <si>
    <t>Bretagne</t>
  </si>
  <si>
    <t>Brest</t>
  </si>
  <si>
    <t>Bronsard</t>
  </si>
  <si>
    <t>Guillaume</t>
  </si>
  <si>
    <t xml:space="preserve">Bretagne </t>
  </si>
  <si>
    <t>Dissault</t>
  </si>
  <si>
    <t xml:space="preserve">Nolween </t>
  </si>
  <si>
    <t>Avis CNU</t>
  </si>
  <si>
    <t xml:space="preserve">soutenue par Guillaum B </t>
  </si>
  <si>
    <t>Lavenne Collot</t>
  </si>
  <si>
    <t>MCA</t>
  </si>
  <si>
    <t>Rennes</t>
  </si>
  <si>
    <t>Kermarrec</t>
  </si>
  <si>
    <t>Solenn</t>
  </si>
  <si>
    <t>MCA?</t>
  </si>
  <si>
    <t>CNU en avril 2026 Sera MCA 1/09/2026</t>
  </si>
  <si>
    <t>Occitanie</t>
  </si>
  <si>
    <t>Montpellier</t>
  </si>
  <si>
    <t>Baghdadli</t>
  </si>
  <si>
    <t>Amaria</t>
  </si>
  <si>
    <t>Kerbage</t>
  </si>
  <si>
    <t>Hala</t>
  </si>
  <si>
    <t>2048-2050</t>
  </si>
  <si>
    <t>PU-PH poste en 2028?</t>
  </si>
  <si>
    <t>Purper Ouakil</t>
  </si>
  <si>
    <t>Diane</t>
  </si>
  <si>
    <t>Toulouse</t>
  </si>
  <si>
    <t>Stocker</t>
  </si>
  <si>
    <t>Antoine</t>
  </si>
  <si>
    <t>CMCU?</t>
  </si>
  <si>
    <t>vu pré CNU Oct 2026 MCU 2027 ?</t>
  </si>
  <si>
    <t>Raynaud</t>
  </si>
  <si>
    <t>Jean Philippe</t>
  </si>
  <si>
    <t>Pu-PH Ex2</t>
  </si>
  <si>
    <t xml:space="preserve">émérite </t>
  </si>
  <si>
    <t>Retraite sept 2028</t>
  </si>
  <si>
    <t>Revet</t>
  </si>
  <si>
    <t>Alexis</t>
  </si>
  <si>
    <t>2053-2055</t>
  </si>
  <si>
    <t>Nouvelle Aquitaine</t>
  </si>
  <si>
    <t>Bordeaux</t>
  </si>
  <si>
    <t>Bouvard</t>
  </si>
  <si>
    <t>Manuel</t>
  </si>
  <si>
    <t>2024 et au-delà</t>
  </si>
  <si>
    <t xml:space="preserve">Pr émérite à Bordeaux </t>
  </si>
  <si>
    <t>Amestoy</t>
  </si>
  <si>
    <t>Anouck</t>
  </si>
  <si>
    <t>Galera</t>
  </si>
  <si>
    <t>Cédric</t>
  </si>
  <si>
    <t>2039-2041</t>
  </si>
  <si>
    <t>Sutter</t>
  </si>
  <si>
    <t>Anne Laure</t>
  </si>
  <si>
    <t>Limoges</t>
  </si>
  <si>
    <t>Olliac</t>
  </si>
  <si>
    <t>Bertrand</t>
  </si>
  <si>
    <t>Poitiers</t>
  </si>
  <si>
    <t>Gicquel</t>
  </si>
  <si>
    <t>Ludovic</t>
  </si>
  <si>
    <t>Jean</t>
  </si>
  <si>
    <t>Centre - Val de Loire</t>
  </si>
  <si>
    <t xml:space="preserve">Orléans </t>
  </si>
  <si>
    <t xml:space="preserve">Tripi </t>
  </si>
  <si>
    <t>Gabriele</t>
  </si>
  <si>
    <t>2037-39</t>
  </si>
  <si>
    <t>Tours</t>
  </si>
  <si>
    <t>ZOPPE</t>
  </si>
  <si>
    <t>Hugo</t>
  </si>
  <si>
    <t>impliqué au niveau des PCO</t>
  </si>
  <si>
    <t>Gargot</t>
  </si>
  <si>
    <t>Thomas</t>
  </si>
  <si>
    <t>2053-55</t>
  </si>
  <si>
    <t>Grand Est</t>
  </si>
  <si>
    <t>Nancy</t>
  </si>
  <si>
    <t>Kabuth</t>
  </si>
  <si>
    <t>Bernard</t>
  </si>
  <si>
    <t>Ligier</t>
  </si>
  <si>
    <t>Fabienne</t>
  </si>
  <si>
    <t>2040-2042</t>
  </si>
  <si>
    <t>Reims</t>
  </si>
  <si>
    <t>Eutrope</t>
  </si>
  <si>
    <t>Julien</t>
  </si>
  <si>
    <t>2044-46</t>
  </si>
  <si>
    <t>aura PU pour 09/2026 voir  CNU en 26</t>
  </si>
  <si>
    <t>Rolland</t>
  </si>
  <si>
    <t>Anne Catherine</t>
  </si>
  <si>
    <t>2034-2036</t>
  </si>
  <si>
    <t>Strasbourg</t>
  </si>
  <si>
    <t xml:space="preserve">Schröder </t>
  </si>
  <si>
    <t>Carmen</t>
  </si>
  <si>
    <t>Rolling</t>
  </si>
  <si>
    <t>Pré CNU juin 2026 sur un poste créé en 2027</t>
  </si>
  <si>
    <t>Pays de la Loire</t>
  </si>
  <si>
    <t>Angers</t>
  </si>
  <si>
    <t>DUVERGER</t>
  </si>
  <si>
    <t>Philippe</t>
  </si>
  <si>
    <t>2025-2027</t>
  </si>
  <si>
    <t>RIQUIN</t>
  </si>
  <si>
    <t>Elise</t>
  </si>
  <si>
    <t>Nantes</t>
  </si>
  <si>
    <t>GOLLIER BRIANT</t>
  </si>
  <si>
    <t>Fanny</t>
  </si>
  <si>
    <t>Normandie</t>
  </si>
  <si>
    <t>Caen</t>
  </si>
  <si>
    <t xml:space="preserve">TESNIERS </t>
  </si>
  <si>
    <t xml:space="preserve">Charles </t>
  </si>
  <si>
    <t>CNU 2025</t>
  </si>
  <si>
    <t>PHU 2026</t>
  </si>
  <si>
    <t>GUENOLE</t>
  </si>
  <si>
    <t>Fabian</t>
  </si>
  <si>
    <t>2025…</t>
  </si>
  <si>
    <t>en dispo sur Lille pour l'instant</t>
  </si>
  <si>
    <t>Rouen</t>
  </si>
  <si>
    <t>GERARDIN</t>
  </si>
  <si>
    <t>Priscille</t>
  </si>
  <si>
    <t>YOUNG</t>
  </si>
  <si>
    <t>Héloïse</t>
  </si>
  <si>
    <t>2055-56</t>
  </si>
  <si>
    <t>Pré CNU avril 2026 MCU_PH 2027</t>
  </si>
  <si>
    <t>Le Havre</t>
  </si>
  <si>
    <t>VITTE</t>
  </si>
  <si>
    <t>Lisa</t>
  </si>
  <si>
    <t>CNU juin 2026</t>
  </si>
  <si>
    <t>APTER</t>
  </si>
  <si>
    <t>Gisèle</t>
  </si>
  <si>
    <t>2026-2028</t>
  </si>
  <si>
    <t>Provence Alpes Côte d'Azur</t>
  </si>
  <si>
    <t>Nice</t>
  </si>
  <si>
    <t>ASKENAZY</t>
  </si>
  <si>
    <t>Florence</t>
  </si>
  <si>
    <t>FERNANDEZ</t>
  </si>
  <si>
    <t>Arnaud</t>
  </si>
  <si>
    <t>sur un poste assises a priori HDR en préparation</t>
  </si>
  <si>
    <t>DOR</t>
  </si>
  <si>
    <t>Emmanuelle</t>
  </si>
  <si>
    <t xml:space="preserve">PA de Territoire en 2026 </t>
  </si>
  <si>
    <t>PA de Territoire en 2026 CNU 26</t>
  </si>
  <si>
    <t>THUMMLER</t>
  </si>
  <si>
    <t>Suzanne</t>
  </si>
  <si>
    <t xml:space="preserve">06/2026 pour PU </t>
  </si>
  <si>
    <t>CNU juin 2026 Sera PU-PH en 09/2026</t>
  </si>
  <si>
    <t>Marseille</t>
  </si>
  <si>
    <t>POINSO</t>
  </si>
  <si>
    <t>Mutation en 2027 Carmen Schröder</t>
  </si>
  <si>
    <t>BAT PITAULT</t>
  </si>
  <si>
    <t>Flora</t>
  </si>
  <si>
    <t>DA FONSECA</t>
  </si>
  <si>
    <t>GUIVARCH</t>
  </si>
  <si>
    <t>Joktan</t>
  </si>
  <si>
    <t>à nommer par anticipation du départ de François sur poste assises ou attendre 2027, attention au poste !! À voir en 2026</t>
  </si>
  <si>
    <t>Repyramidage CNU juin 2026 Poste PU-PH septembre 26</t>
  </si>
  <si>
    <t>Marseille/Toulon</t>
  </si>
  <si>
    <t>BOURVIS</t>
  </si>
  <si>
    <t>Nadège</t>
  </si>
  <si>
    <t>Titularisation à Toulon en 2028 ? Difficile voir à partir de 27 ?</t>
  </si>
  <si>
    <t>DOM</t>
  </si>
  <si>
    <t>Réunion</t>
  </si>
  <si>
    <t>SPODENKIEWICZ</t>
  </si>
  <si>
    <t>Michel</t>
  </si>
  <si>
    <t>MCPH 2C</t>
  </si>
  <si>
    <t xml:space="preserve">ABANDON </t>
  </si>
  <si>
    <t>En cours</t>
  </si>
  <si>
    <t>Antilles Guyane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</si>
</sst>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rgb="FF0070C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rgb="FFFFC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i/>
      <sz val="12"/>
      <color rgb="FFFF0000"/>
      <name val="Calibri"/>
      <family val="2"/>
    </font>
    <font>
      <b/>
      <sz val="12"/>
      <color theme="6" tint="-0.249977111117893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12"/>
      <color theme="1" tint="0.14999847407452621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  <font>
      <b/>
      <sz val="12"/>
      <color rgb="FFFA0EDE"/>
      <name val="Calibri"/>
      <family val="2"/>
      <scheme val="minor"/>
    </font>
    <font>
      <b/>
      <sz val="12"/>
      <color rgb="FF4CDF29"/>
      <name val="Calibri"/>
      <family val="2"/>
      <scheme val="minor"/>
    </font>
    <font>
      <b/>
      <sz val="12"/>
      <color rgb="FF2054E8"/>
      <name val="Calibri"/>
      <family val="2"/>
      <scheme val="minor"/>
    </font>
    <font>
      <b/>
      <sz val="12"/>
      <color rgb="FFF56413"/>
      <name val="Calibri"/>
      <family val="2"/>
      <scheme val="minor"/>
    </font>
    <font>
      <b/>
      <sz val="12"/>
      <color rgb="FF48B5C0"/>
      <name val="Calibri"/>
      <family val="2"/>
      <scheme val="minor"/>
    </font>
    <font>
      <sz val="12"/>
      <name val="Calibri"/>
      <family val="2"/>
    </font>
    <font>
      <sz val="12"/>
      <color theme="1"/>
      <name val="Calibri (Corps)"/>
    </font>
    <font>
      <sz val="10"/>
      <color theme="1"/>
      <name val="Arial Narrow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</font>
    <font>
      <b/>
      <sz val="12"/>
      <name val="Calibri"/>
      <family val="2"/>
      <scheme val="minor"/>
    </font>
    <font>
      <sz val="12"/>
      <name val="Calibri (Corps)"/>
    </font>
    <font>
      <b/>
      <sz val="12"/>
      <name val="Calibri (Corps)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CDF2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0BFC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11" fontId="1" fillId="0" borderId="0" xfId="0" applyNumberFormat="1" applyFont="1"/>
    <xf numFmtId="0" fontId="3" fillId="2" borderId="0" xfId="0" applyFont="1" applyFill="1"/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wrapText="1"/>
    </xf>
    <xf numFmtId="0" fontId="10" fillId="0" borderId="0" xfId="0" applyFont="1"/>
    <xf numFmtId="0" fontId="4" fillId="0" borderId="0" xfId="0" applyFont="1" applyAlignment="1">
      <alignment wrapText="1"/>
    </xf>
    <xf numFmtId="0" fontId="11" fillId="2" borderId="0" xfId="0" applyFont="1" applyFill="1" applyAlignment="1">
      <alignment wrapText="1"/>
    </xf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/>
    <xf numFmtId="0" fontId="1" fillId="4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0" fillId="4" borderId="0" xfId="0" applyFill="1"/>
    <xf numFmtId="0" fontId="0" fillId="4" borderId="0" xfId="0" applyFill="1" applyAlignment="1">
      <alignment horizontal="center"/>
    </xf>
    <xf numFmtId="14" fontId="2" fillId="0" borderId="0" xfId="0" applyNumberFormat="1" applyFont="1"/>
    <xf numFmtId="14" fontId="0" fillId="0" borderId="0" xfId="0" applyNumberFormat="1"/>
    <xf numFmtId="14" fontId="0" fillId="4" borderId="0" xfId="0" applyNumberFormat="1" applyFill="1"/>
    <xf numFmtId="0" fontId="0" fillId="0" borderId="0" xfId="0" applyAlignment="1">
      <alignment vertical="top" wrapText="1"/>
    </xf>
    <xf numFmtId="17" fontId="0" fillId="0" borderId="0" xfId="0" applyNumberFormat="1"/>
    <xf numFmtId="0" fontId="3" fillId="0" borderId="0" xfId="0" applyFont="1"/>
    <xf numFmtId="0" fontId="11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0" fillId="5" borderId="0" xfId="0" applyFill="1"/>
    <xf numFmtId="0" fontId="2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19" fillId="5" borderId="0" xfId="0" applyFont="1" applyFill="1" applyAlignment="1">
      <alignment wrapText="1"/>
    </xf>
    <xf numFmtId="14" fontId="0" fillId="5" borderId="0" xfId="0" applyNumberFormat="1" applyFill="1"/>
    <xf numFmtId="0" fontId="6" fillId="5" borderId="0" xfId="0" applyFont="1" applyFill="1" applyAlignment="1">
      <alignment wrapText="1"/>
    </xf>
    <xf numFmtId="0" fontId="1" fillId="5" borderId="0" xfId="0" applyFont="1" applyFill="1"/>
    <xf numFmtId="0" fontId="24" fillId="5" borderId="0" xfId="0" applyFont="1" applyFill="1"/>
    <xf numFmtId="0" fontId="0" fillId="6" borderId="0" xfId="0" applyFill="1" applyAlignment="1">
      <alignment wrapText="1"/>
    </xf>
    <xf numFmtId="0" fontId="0" fillId="6" borderId="0" xfId="0" applyFill="1"/>
    <xf numFmtId="0" fontId="2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19" fillId="6" borderId="0" xfId="0" applyFont="1" applyFill="1" applyAlignment="1">
      <alignment wrapText="1"/>
    </xf>
    <xf numFmtId="14" fontId="0" fillId="6" borderId="0" xfId="0" applyNumberFormat="1" applyFill="1"/>
    <xf numFmtId="0" fontId="0" fillId="7" borderId="0" xfId="0" applyFill="1"/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23" fillId="0" borderId="1" xfId="0" applyFont="1" applyBorder="1" applyAlignment="1">
      <alignment horizontal="left" vertical="center" wrapText="1"/>
    </xf>
    <xf numFmtId="0" fontId="6" fillId="4" borderId="0" xfId="0" applyFont="1" applyFill="1" applyAlignment="1">
      <alignment wrapText="1"/>
    </xf>
    <xf numFmtId="0" fontId="2" fillId="4" borderId="0" xfId="0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4" fillId="0" borderId="2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14" fontId="0" fillId="0" borderId="1" xfId="0" applyNumberFormat="1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2" borderId="2" xfId="0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13" fillId="2" borderId="1" xfId="0" applyFont="1" applyFill="1" applyBorder="1"/>
    <xf numFmtId="0" fontId="2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25" fillId="0" borderId="0" xfId="0" applyNumberFormat="1" applyFont="1"/>
    <xf numFmtId="0" fontId="26" fillId="0" borderId="0" xfId="0" applyFont="1"/>
    <xf numFmtId="14" fontId="26" fillId="0" borderId="0" xfId="0" applyNumberFormat="1" applyFont="1"/>
    <xf numFmtId="0" fontId="0" fillId="3" borderId="0" xfId="0" applyFill="1"/>
    <xf numFmtId="0" fontId="3" fillId="8" borderId="0" xfId="0" applyFont="1" applyFill="1"/>
    <xf numFmtId="0" fontId="0" fillId="8" borderId="0" xfId="0" applyFill="1" applyAlignment="1">
      <alignment wrapText="1"/>
    </xf>
    <xf numFmtId="0" fontId="0" fillId="8" borderId="0" xfId="0" applyFill="1"/>
    <xf numFmtId="14" fontId="0" fillId="8" borderId="0" xfId="0" applyNumberFormat="1" applyFill="1"/>
    <xf numFmtId="0" fontId="2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5" fillId="8" borderId="0" xfId="0" applyFont="1" applyFill="1" applyAlignment="1">
      <alignment wrapText="1"/>
    </xf>
    <xf numFmtId="0" fontId="24" fillId="2" borderId="0" xfId="0" applyFont="1" applyFill="1"/>
    <xf numFmtId="0" fontId="9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14" fontId="0" fillId="2" borderId="0" xfId="0" applyNumberForma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0" fillId="2" borderId="0" xfId="0" applyFont="1" applyFill="1"/>
    <xf numFmtId="0" fontId="27" fillId="8" borderId="0" xfId="0" applyFont="1" applyFill="1" applyAlignment="1">
      <alignment wrapText="1"/>
    </xf>
    <xf numFmtId="0" fontId="14" fillId="8" borderId="0" xfId="0" applyFont="1" applyFill="1" applyAlignment="1">
      <alignment wrapText="1"/>
    </xf>
    <xf numFmtId="0" fontId="14" fillId="8" borderId="0" xfId="0" applyFont="1" applyFill="1"/>
    <xf numFmtId="14" fontId="14" fillId="8" borderId="0" xfId="0" applyNumberFormat="1" applyFont="1" applyFill="1"/>
    <xf numFmtId="0" fontId="21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16" fillId="2" borderId="0" xfId="0" applyFont="1" applyFill="1" applyAlignment="1">
      <alignment wrapText="1"/>
    </xf>
    <xf numFmtId="0" fontId="27" fillId="9" borderId="0" xfId="0" applyFont="1" applyFill="1" applyAlignment="1">
      <alignment wrapText="1"/>
    </xf>
    <xf numFmtId="0" fontId="28" fillId="9" borderId="0" xfId="0" applyFont="1" applyFill="1" applyAlignment="1">
      <alignment wrapText="1"/>
    </xf>
    <xf numFmtId="0" fontId="28" fillId="9" borderId="0" xfId="0" applyFont="1" applyFill="1"/>
    <xf numFmtId="14" fontId="28" fillId="9" borderId="0" xfId="0" applyNumberFormat="1" applyFont="1" applyFill="1"/>
    <xf numFmtId="0" fontId="28" fillId="9" borderId="0" xfId="0" applyFont="1" applyFill="1" applyAlignment="1">
      <alignment horizontal="center"/>
    </xf>
    <xf numFmtId="0" fontId="29" fillId="9" borderId="0" xfId="0" applyFont="1" applyFill="1"/>
    <xf numFmtId="0" fontId="14" fillId="9" borderId="0" xfId="0" applyFont="1" applyFill="1"/>
    <xf numFmtId="0" fontId="14" fillId="9" borderId="0" xfId="0" applyFont="1" applyFill="1" applyAlignment="1">
      <alignment horizontal="center"/>
    </xf>
    <xf numFmtId="0" fontId="0" fillId="9" borderId="0" xfId="0" applyFill="1" applyAlignment="1">
      <alignment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48B5C0"/>
      <color rgb="FF2054E8"/>
      <color rgb="FFF0BFCA"/>
      <color rgb="FF4CDF29"/>
      <color rgb="FFFA0EDE"/>
      <color rgb="FFF564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E817D-7329-6E40-B819-05E8C3A1EFF4}">
  <dimension ref="A1:W95"/>
  <sheetViews>
    <sheetView tabSelected="1" zoomScale="101" zoomScaleNormal="100" workbookViewId="0">
      <selection activeCell="D1" sqref="D1"/>
    </sheetView>
  </sheetViews>
  <sheetFormatPr baseColWidth="10" defaultColWidth="11" defaultRowHeight="16" x14ac:dyDescent="0.2"/>
  <cols>
    <col min="1" max="1" width="14.83203125" customWidth="1"/>
    <col min="2" max="2" width="12.1640625" bestFit="1" customWidth="1"/>
    <col min="3" max="3" width="14.33203125" customWidth="1"/>
    <col min="5" max="5" width="8.1640625" bestFit="1" customWidth="1"/>
    <col min="6" max="6" width="10.5" customWidth="1"/>
    <col min="7" max="7" width="16.5" customWidth="1"/>
    <col min="8" max="8" width="10.5" customWidth="1"/>
    <col min="9" max="9" width="16.33203125" customWidth="1"/>
    <col min="10" max="10" width="7.83203125" bestFit="1" customWidth="1"/>
    <col min="11" max="11" width="9.5" bestFit="1" customWidth="1"/>
    <col min="12" max="12" width="13.5" style="29" bestFit="1" customWidth="1"/>
    <col min="13" max="13" width="10" bestFit="1" customWidth="1"/>
    <col min="14" max="14" width="12.83203125" bestFit="1" customWidth="1"/>
    <col min="15" max="15" width="7" bestFit="1" customWidth="1"/>
    <col min="16" max="16" width="7.5" bestFit="1" customWidth="1"/>
    <col min="17" max="17" width="10.6640625" bestFit="1" customWidth="1"/>
    <col min="18" max="18" width="11.33203125" bestFit="1" customWidth="1"/>
    <col min="19" max="19" width="18.83203125" bestFit="1" customWidth="1"/>
    <col min="20" max="20" width="18.83203125" style="29" bestFit="1" customWidth="1"/>
    <col min="21" max="21" width="54.6640625" style="29" customWidth="1"/>
    <col min="22" max="22" width="30.33203125" style="29" customWidth="1"/>
    <col min="23" max="23" width="16" style="29" customWidth="1"/>
  </cols>
  <sheetData>
    <row r="1" spans="1:2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28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8" t="s">
        <v>19</v>
      </c>
      <c r="V1" s="28" t="s">
        <v>20</v>
      </c>
      <c r="W1" s="28" t="s">
        <v>21</v>
      </c>
    </row>
    <row r="2" spans="1:23" x14ac:dyDescent="0.2">
      <c r="A2" s="9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s="39">
        <v>44546</v>
      </c>
      <c r="H2">
        <v>6</v>
      </c>
      <c r="I2" s="38">
        <v>44750</v>
      </c>
      <c r="J2" s="3">
        <v>1977</v>
      </c>
      <c r="K2" s="4">
        <f ca="1">YEAR(NOW())-J2</f>
        <v>49</v>
      </c>
      <c r="L2" s="3">
        <v>2020</v>
      </c>
      <c r="M2" s="4" t="s">
        <v>28</v>
      </c>
      <c r="N2" s="4" t="s">
        <v>29</v>
      </c>
      <c r="O2" s="4" t="s">
        <v>29</v>
      </c>
      <c r="P2" s="4" t="s">
        <v>29</v>
      </c>
      <c r="Q2" s="4" t="s">
        <v>29</v>
      </c>
      <c r="R2" s="4"/>
      <c r="S2" s="3"/>
      <c r="T2" s="4" t="s">
        <v>30</v>
      </c>
    </row>
    <row r="3" spans="1:23" x14ac:dyDescent="0.2">
      <c r="A3" s="9" t="s">
        <v>22</v>
      </c>
      <c r="B3" t="s">
        <v>23</v>
      </c>
      <c r="C3" t="s">
        <v>31</v>
      </c>
      <c r="D3" t="s">
        <v>32</v>
      </c>
      <c r="E3" t="s">
        <v>26</v>
      </c>
      <c r="F3" s="80" t="s">
        <v>33</v>
      </c>
      <c r="G3" s="81">
        <v>45901</v>
      </c>
      <c r="H3" s="2">
        <v>1</v>
      </c>
      <c r="I3" s="81">
        <v>45901</v>
      </c>
      <c r="J3" s="5">
        <v>1959</v>
      </c>
      <c r="K3" s="4">
        <f t="shared" ref="K3:K74" ca="1" si="0">YEAR(NOW())-J3</f>
        <v>67</v>
      </c>
      <c r="L3" s="5">
        <v>2007</v>
      </c>
      <c r="M3" s="5">
        <v>2027</v>
      </c>
      <c r="N3" s="4" t="s">
        <v>29</v>
      </c>
      <c r="O3" s="4" t="s">
        <v>29</v>
      </c>
      <c r="P3" s="4" t="s">
        <v>29</v>
      </c>
      <c r="Q3" s="4" t="s">
        <v>29</v>
      </c>
      <c r="R3" s="4"/>
      <c r="S3" s="5">
        <v>2007</v>
      </c>
      <c r="T3" s="4" t="s">
        <v>30</v>
      </c>
    </row>
    <row r="4" spans="1:23" x14ac:dyDescent="0.2">
      <c r="A4" s="9" t="s">
        <v>22</v>
      </c>
      <c r="B4" t="s">
        <v>23</v>
      </c>
      <c r="C4" t="s">
        <v>34</v>
      </c>
      <c r="D4" t="s">
        <v>35</v>
      </c>
      <c r="E4" t="s">
        <v>26</v>
      </c>
      <c r="F4" s="2" t="s">
        <v>33</v>
      </c>
      <c r="G4" s="38">
        <v>44546</v>
      </c>
      <c r="H4" s="2">
        <v>2</v>
      </c>
      <c r="I4" s="38">
        <v>44546</v>
      </c>
      <c r="J4" s="6">
        <v>1961</v>
      </c>
      <c r="K4" s="4">
        <f t="shared" ca="1" si="0"/>
        <v>65</v>
      </c>
      <c r="L4" s="6">
        <v>2000</v>
      </c>
      <c r="M4" s="6">
        <v>2030</v>
      </c>
      <c r="N4" s="4" t="s">
        <v>29</v>
      </c>
      <c r="O4" s="4" t="s">
        <v>29</v>
      </c>
      <c r="P4" s="4" t="s">
        <v>29</v>
      </c>
      <c r="Q4" s="4" t="s">
        <v>29</v>
      </c>
      <c r="R4" s="4"/>
      <c r="S4" s="6">
        <v>2000</v>
      </c>
      <c r="T4" s="4" t="s">
        <v>30</v>
      </c>
    </row>
    <row r="5" spans="1:23" ht="17" x14ac:dyDescent="0.2">
      <c r="A5" s="9" t="s">
        <v>22</v>
      </c>
      <c r="B5" t="s">
        <v>23</v>
      </c>
      <c r="C5" t="s">
        <v>36</v>
      </c>
      <c r="D5" t="s">
        <v>37</v>
      </c>
      <c r="E5" t="s">
        <v>26</v>
      </c>
      <c r="F5" s="80" t="s">
        <v>27</v>
      </c>
      <c r="G5" s="38">
        <v>44546</v>
      </c>
      <c r="H5" s="2">
        <v>7</v>
      </c>
      <c r="I5" s="38">
        <v>44546</v>
      </c>
      <c r="J5" s="5">
        <v>1973</v>
      </c>
      <c r="K5" s="4">
        <f t="shared" ca="1" si="0"/>
        <v>53</v>
      </c>
      <c r="L5" s="5">
        <v>2013</v>
      </c>
      <c r="M5" s="5" t="s">
        <v>38</v>
      </c>
      <c r="N5" s="4" t="s">
        <v>29</v>
      </c>
      <c r="O5" s="4" t="s">
        <v>29</v>
      </c>
      <c r="P5" s="4" t="s">
        <v>29</v>
      </c>
      <c r="Q5" s="4" t="s">
        <v>29</v>
      </c>
      <c r="R5" s="4"/>
      <c r="S5" s="5">
        <v>2013</v>
      </c>
      <c r="T5" s="4" t="s">
        <v>30</v>
      </c>
    </row>
    <row r="6" spans="1:23" x14ac:dyDescent="0.2">
      <c r="A6" s="9" t="s">
        <v>22</v>
      </c>
      <c r="B6" t="s">
        <v>23</v>
      </c>
      <c r="C6" t="s">
        <v>39</v>
      </c>
      <c r="D6" t="s">
        <v>40</v>
      </c>
      <c r="E6" t="s">
        <v>26</v>
      </c>
      <c r="F6" s="2" t="s">
        <v>41</v>
      </c>
      <c r="G6" s="38">
        <v>44546</v>
      </c>
      <c r="H6" s="2">
        <v>3</v>
      </c>
      <c r="I6" s="38">
        <v>44546</v>
      </c>
      <c r="J6" s="6">
        <v>1967</v>
      </c>
      <c r="K6" s="4">
        <f t="shared" ca="1" si="0"/>
        <v>59</v>
      </c>
      <c r="L6" s="6">
        <v>2015</v>
      </c>
      <c r="M6" s="6" t="s">
        <v>42</v>
      </c>
      <c r="N6" s="4" t="s">
        <v>29</v>
      </c>
      <c r="O6" s="4" t="s">
        <v>29</v>
      </c>
      <c r="P6" s="4" t="s">
        <v>29</v>
      </c>
      <c r="Q6" s="4" t="s">
        <v>29</v>
      </c>
      <c r="R6" s="4"/>
      <c r="S6" s="6">
        <v>2015</v>
      </c>
      <c r="T6" s="4" t="s">
        <v>30</v>
      </c>
    </row>
    <row r="7" spans="1:23" x14ac:dyDescent="0.2">
      <c r="A7" s="9" t="s">
        <v>22</v>
      </c>
      <c r="B7" t="s">
        <v>23</v>
      </c>
      <c r="C7" t="s">
        <v>43</v>
      </c>
      <c r="D7" t="s">
        <v>44</v>
      </c>
      <c r="E7" t="s">
        <v>26</v>
      </c>
      <c r="F7" s="2"/>
      <c r="G7" s="38">
        <v>45901</v>
      </c>
      <c r="H7" s="2"/>
      <c r="I7" s="2"/>
      <c r="J7" s="4">
        <v>1984</v>
      </c>
      <c r="K7" s="4">
        <f t="shared" ca="1" si="0"/>
        <v>42</v>
      </c>
      <c r="L7" s="4">
        <v>2025</v>
      </c>
      <c r="M7" s="4" t="s">
        <v>45</v>
      </c>
      <c r="N7" s="4" t="s">
        <v>29</v>
      </c>
      <c r="O7" s="4" t="s">
        <v>29</v>
      </c>
      <c r="P7" s="4" t="s">
        <v>29</v>
      </c>
      <c r="Q7" s="4" t="s">
        <v>29</v>
      </c>
      <c r="R7" s="4" t="s">
        <v>26</v>
      </c>
      <c r="S7" s="4">
        <v>2025</v>
      </c>
      <c r="T7" s="4" t="s">
        <v>30</v>
      </c>
    </row>
    <row r="8" spans="1:23" x14ac:dyDescent="0.2">
      <c r="A8" s="9" t="s">
        <v>22</v>
      </c>
      <c r="B8" t="s">
        <v>23</v>
      </c>
      <c r="C8" t="s">
        <v>46</v>
      </c>
      <c r="D8" t="s">
        <v>47</v>
      </c>
      <c r="E8" t="s">
        <v>48</v>
      </c>
      <c r="F8" s="2" t="s">
        <v>49</v>
      </c>
      <c r="G8" s="38">
        <v>45536</v>
      </c>
      <c r="H8" s="2">
        <v>1</v>
      </c>
      <c r="I8" s="38">
        <v>45536</v>
      </c>
      <c r="J8" s="4">
        <v>1982</v>
      </c>
      <c r="K8" s="4">
        <f t="shared" ca="1" si="0"/>
        <v>44</v>
      </c>
      <c r="L8" s="4">
        <v>2024</v>
      </c>
      <c r="M8" s="4" t="s">
        <v>50</v>
      </c>
      <c r="N8" s="4" t="s">
        <v>51</v>
      </c>
      <c r="O8" s="4" t="s">
        <v>51</v>
      </c>
      <c r="P8" s="4" t="s">
        <v>52</v>
      </c>
      <c r="Q8" s="4" t="s">
        <v>51</v>
      </c>
      <c r="R8" s="4" t="s">
        <v>26</v>
      </c>
      <c r="S8" s="4">
        <v>2024</v>
      </c>
      <c r="T8" s="4" t="s">
        <v>53</v>
      </c>
      <c r="U8" s="62" t="s">
        <v>54</v>
      </c>
    </row>
    <row r="9" spans="1:23" x14ac:dyDescent="0.2">
      <c r="A9" s="9" t="s">
        <v>22</v>
      </c>
      <c r="B9" t="s">
        <v>23</v>
      </c>
      <c r="C9" t="s">
        <v>55</v>
      </c>
      <c r="D9" t="s">
        <v>56</v>
      </c>
      <c r="E9" t="s">
        <v>48</v>
      </c>
      <c r="F9" s="2" t="s">
        <v>49</v>
      </c>
      <c r="G9" s="38">
        <v>45170</v>
      </c>
      <c r="H9" s="2">
        <v>2</v>
      </c>
      <c r="I9" s="38">
        <v>45170</v>
      </c>
      <c r="J9" s="27">
        <v>1987</v>
      </c>
      <c r="K9" s="4">
        <f t="shared" ca="1" si="0"/>
        <v>39</v>
      </c>
      <c r="L9" s="4">
        <v>2024</v>
      </c>
      <c r="M9" s="4" t="s">
        <v>57</v>
      </c>
      <c r="N9" s="4" t="s">
        <v>51</v>
      </c>
      <c r="O9" s="4" t="s">
        <v>51</v>
      </c>
      <c r="P9" s="4" t="s">
        <v>51</v>
      </c>
      <c r="Q9" s="4"/>
      <c r="R9" s="4" t="s">
        <v>26</v>
      </c>
      <c r="S9" s="4">
        <v>2023</v>
      </c>
      <c r="T9" s="4" t="s">
        <v>53</v>
      </c>
      <c r="U9" s="61" t="s">
        <v>58</v>
      </c>
    </row>
    <row r="10" spans="1:23" x14ac:dyDescent="0.2">
      <c r="A10" s="9" t="s">
        <v>22</v>
      </c>
      <c r="B10" t="s">
        <v>23</v>
      </c>
      <c r="C10" t="s">
        <v>59</v>
      </c>
      <c r="D10" t="s">
        <v>60</v>
      </c>
      <c r="E10" t="s">
        <v>61</v>
      </c>
      <c r="F10" s="2"/>
      <c r="G10" s="2"/>
      <c r="H10" s="2"/>
      <c r="I10" s="2"/>
      <c r="J10" s="5">
        <v>1987</v>
      </c>
      <c r="K10" s="4">
        <f t="shared" ca="1" si="0"/>
        <v>39</v>
      </c>
      <c r="L10" s="5"/>
      <c r="M10" s="4" t="s">
        <v>57</v>
      </c>
      <c r="N10" s="4" t="s">
        <v>29</v>
      </c>
      <c r="O10" s="4" t="s">
        <v>29</v>
      </c>
      <c r="P10" s="4" t="s">
        <v>29</v>
      </c>
      <c r="Q10" s="4" t="s">
        <v>29</v>
      </c>
      <c r="R10" s="4" t="s">
        <v>26</v>
      </c>
      <c r="S10" s="4">
        <v>2025</v>
      </c>
      <c r="T10" s="4" t="s">
        <v>62</v>
      </c>
      <c r="U10" s="61" t="s">
        <v>63</v>
      </c>
    </row>
    <row r="11" spans="1:23" x14ac:dyDescent="0.2">
      <c r="A11" s="9" t="s">
        <v>22</v>
      </c>
      <c r="B11" t="s">
        <v>23</v>
      </c>
      <c r="C11" t="s">
        <v>64</v>
      </c>
      <c r="D11" t="s">
        <v>65</v>
      </c>
      <c r="E11" t="s">
        <v>61</v>
      </c>
      <c r="F11" s="2"/>
      <c r="G11" s="2"/>
      <c r="H11" s="2"/>
      <c r="I11" s="2"/>
      <c r="J11" s="27">
        <v>1980</v>
      </c>
      <c r="K11" s="4">
        <f ca="1">YEAR(NOW())-J11</f>
        <v>46</v>
      </c>
      <c r="L11" s="18"/>
      <c r="M11" s="18"/>
      <c r="N11" s="4" t="s">
        <v>29</v>
      </c>
      <c r="O11" s="4" t="s">
        <v>29</v>
      </c>
      <c r="P11" s="4" t="s">
        <v>29</v>
      </c>
      <c r="Q11" s="4" t="s">
        <v>29</v>
      </c>
      <c r="R11" s="4" t="s">
        <v>26</v>
      </c>
      <c r="S11" s="4">
        <v>2025</v>
      </c>
      <c r="T11" s="4" t="s">
        <v>62</v>
      </c>
      <c r="U11" s="61" t="s">
        <v>66</v>
      </c>
    </row>
    <row r="12" spans="1:23" ht="29" customHeight="1" x14ac:dyDescent="0.2">
      <c r="A12" s="9" t="s">
        <v>22</v>
      </c>
      <c r="B12" s="41" t="s">
        <v>67</v>
      </c>
      <c r="C12" t="s">
        <v>68</v>
      </c>
      <c r="D12" t="s">
        <v>69</v>
      </c>
      <c r="E12" t="s">
        <v>26</v>
      </c>
      <c r="F12" s="2" t="s">
        <v>33</v>
      </c>
      <c r="G12" s="39">
        <v>44546</v>
      </c>
      <c r="H12">
        <v>2</v>
      </c>
      <c r="I12" s="39">
        <v>44805</v>
      </c>
      <c r="J12">
        <v>1964</v>
      </c>
      <c r="K12" s="4">
        <f t="shared" ca="1" si="0"/>
        <v>62</v>
      </c>
      <c r="L12" s="4">
        <v>2006</v>
      </c>
      <c r="M12" t="s">
        <v>70</v>
      </c>
      <c r="N12" s="4" t="s">
        <v>29</v>
      </c>
      <c r="O12" s="4" t="s">
        <v>29</v>
      </c>
      <c r="P12" s="4" t="s">
        <v>29</v>
      </c>
      <c r="Q12" s="4" t="s">
        <v>29</v>
      </c>
    </row>
    <row r="13" spans="1:23" ht="51" x14ac:dyDescent="0.2">
      <c r="A13" s="9" t="s">
        <v>22</v>
      </c>
      <c r="B13" s="7" t="s">
        <v>67</v>
      </c>
      <c r="C13" t="s">
        <v>71</v>
      </c>
      <c r="D13" t="s">
        <v>72</v>
      </c>
      <c r="E13" t="s">
        <v>26</v>
      </c>
      <c r="F13" s="2" t="s">
        <v>27</v>
      </c>
      <c r="G13" s="39">
        <v>44546</v>
      </c>
      <c r="H13">
        <v>7</v>
      </c>
      <c r="I13" s="39">
        <v>45319</v>
      </c>
      <c r="J13">
        <v>1972</v>
      </c>
      <c r="K13" s="4">
        <f t="shared" ca="1" si="0"/>
        <v>54</v>
      </c>
      <c r="L13" s="4">
        <v>2018</v>
      </c>
      <c r="M13" t="s">
        <v>73</v>
      </c>
      <c r="N13" s="4" t="s">
        <v>29</v>
      </c>
      <c r="O13" s="4" t="s">
        <v>29</v>
      </c>
      <c r="P13" s="4" t="s">
        <v>29</v>
      </c>
      <c r="Q13" s="4" t="s">
        <v>29</v>
      </c>
    </row>
    <row r="14" spans="1:23" ht="51" x14ac:dyDescent="0.2">
      <c r="A14" s="9" t="s">
        <v>22</v>
      </c>
      <c r="B14" s="7" t="s">
        <v>67</v>
      </c>
      <c r="C14" t="s">
        <v>74</v>
      </c>
      <c r="D14" t="s">
        <v>75</v>
      </c>
      <c r="E14" t="s">
        <v>48</v>
      </c>
      <c r="F14" s="2" t="s">
        <v>49</v>
      </c>
      <c r="G14" s="39">
        <v>44546</v>
      </c>
      <c r="H14">
        <v>3</v>
      </c>
      <c r="I14" s="39">
        <v>45474</v>
      </c>
      <c r="J14">
        <v>1986</v>
      </c>
      <c r="K14" s="4">
        <f t="shared" ca="1" si="0"/>
        <v>40</v>
      </c>
      <c r="L14" s="4">
        <v>2019</v>
      </c>
      <c r="M14" s="4" t="s">
        <v>76</v>
      </c>
      <c r="N14" s="4" t="s">
        <v>29</v>
      </c>
      <c r="O14" s="4" t="s">
        <v>29</v>
      </c>
      <c r="P14" s="4" t="s">
        <v>29</v>
      </c>
      <c r="Q14" s="4" t="s">
        <v>29</v>
      </c>
      <c r="R14" s="4" t="s">
        <v>26</v>
      </c>
      <c r="S14" s="4">
        <v>2025</v>
      </c>
      <c r="T14" s="4" t="s">
        <v>77</v>
      </c>
      <c r="U14" s="61" t="s">
        <v>58</v>
      </c>
    </row>
    <row r="15" spans="1:23" ht="51" x14ac:dyDescent="0.2">
      <c r="A15" s="9" t="s">
        <v>22</v>
      </c>
      <c r="B15" s="7" t="s">
        <v>67</v>
      </c>
      <c r="C15" t="s">
        <v>78</v>
      </c>
      <c r="D15" t="s">
        <v>79</v>
      </c>
      <c r="E15" t="s">
        <v>48</v>
      </c>
      <c r="F15" s="2" t="s">
        <v>80</v>
      </c>
      <c r="G15" s="39">
        <v>44805</v>
      </c>
      <c r="H15">
        <v>5</v>
      </c>
      <c r="I15" s="39">
        <v>45170</v>
      </c>
      <c r="J15">
        <v>1963</v>
      </c>
      <c r="K15" s="4">
        <f t="shared" ca="1" si="0"/>
        <v>63</v>
      </c>
      <c r="L15" s="4">
        <v>2007</v>
      </c>
      <c r="M15" s="4" t="s">
        <v>81</v>
      </c>
      <c r="N15" s="4"/>
      <c r="O15" s="4"/>
      <c r="P15" s="4"/>
      <c r="Q15" s="4"/>
    </row>
    <row r="16" spans="1:23" ht="35" customHeight="1" x14ac:dyDescent="0.2">
      <c r="A16" s="9" t="s">
        <v>22</v>
      </c>
      <c r="B16" s="7" t="s">
        <v>82</v>
      </c>
      <c r="C16" t="s">
        <v>83</v>
      </c>
      <c r="D16" t="s">
        <v>84</v>
      </c>
      <c r="E16" t="s">
        <v>26</v>
      </c>
      <c r="F16" s="2" t="s">
        <v>41</v>
      </c>
      <c r="G16" s="39">
        <v>44546</v>
      </c>
      <c r="H16">
        <v>3</v>
      </c>
      <c r="I16" s="39">
        <v>44546</v>
      </c>
      <c r="J16">
        <v>1967</v>
      </c>
      <c r="K16" s="4">
        <f t="shared" ca="1" si="0"/>
        <v>59</v>
      </c>
      <c r="L16" s="4">
        <v>2010</v>
      </c>
      <c r="M16" t="s">
        <v>42</v>
      </c>
      <c r="N16" s="4" t="s">
        <v>29</v>
      </c>
      <c r="O16" s="4" t="s">
        <v>29</v>
      </c>
      <c r="P16" s="4" t="s">
        <v>29</v>
      </c>
      <c r="Q16" s="4" t="s">
        <v>29</v>
      </c>
      <c r="U16" s="62" t="s">
        <v>85</v>
      </c>
    </row>
    <row r="17" spans="1:23" ht="51" x14ac:dyDescent="0.2">
      <c r="A17" s="9" t="s">
        <v>22</v>
      </c>
      <c r="B17" s="7" t="s">
        <v>82</v>
      </c>
      <c r="C17" t="s">
        <v>86</v>
      </c>
      <c r="D17" t="s">
        <v>87</v>
      </c>
      <c r="E17" t="s">
        <v>48</v>
      </c>
      <c r="F17" s="2" t="s">
        <v>88</v>
      </c>
      <c r="G17" s="39">
        <v>45170</v>
      </c>
      <c r="H17">
        <v>5</v>
      </c>
      <c r="I17" s="39">
        <v>45170</v>
      </c>
      <c r="J17">
        <v>1969</v>
      </c>
      <c r="K17" s="4">
        <f t="shared" ca="1" si="0"/>
        <v>57</v>
      </c>
      <c r="L17" s="4">
        <v>2008</v>
      </c>
      <c r="M17" t="s">
        <v>89</v>
      </c>
    </row>
    <row r="18" spans="1:23" ht="31" customHeight="1" x14ac:dyDescent="0.2">
      <c r="A18" s="9" t="s">
        <v>22</v>
      </c>
      <c r="B18" s="7" t="s">
        <v>82</v>
      </c>
      <c r="C18" t="s">
        <v>90</v>
      </c>
      <c r="D18" t="s">
        <v>91</v>
      </c>
      <c r="E18" t="s">
        <v>92</v>
      </c>
      <c r="J18">
        <v>1968</v>
      </c>
      <c r="K18" s="4">
        <f t="shared" ca="1" si="0"/>
        <v>58</v>
      </c>
      <c r="L18" s="4">
        <v>2024</v>
      </c>
      <c r="M18" t="s">
        <v>93</v>
      </c>
    </row>
    <row r="19" spans="1:23" ht="31" customHeight="1" x14ac:dyDescent="0.2">
      <c r="A19" s="9" t="s">
        <v>22</v>
      </c>
      <c r="B19" s="7" t="s">
        <v>94</v>
      </c>
      <c r="C19" t="s">
        <v>95</v>
      </c>
      <c r="D19" t="s">
        <v>96</v>
      </c>
      <c r="J19">
        <v>1960</v>
      </c>
      <c r="K19" s="4">
        <f t="shared" ca="1" si="0"/>
        <v>66</v>
      </c>
      <c r="L19" s="4"/>
      <c r="M19">
        <v>2030</v>
      </c>
      <c r="R19" t="s">
        <v>97</v>
      </c>
      <c r="S19" s="42">
        <v>45809</v>
      </c>
      <c r="T19" s="29" t="s">
        <v>98</v>
      </c>
      <c r="U19" s="82" t="s">
        <v>99</v>
      </c>
    </row>
    <row r="20" spans="1:23" s="46" customFormat="1" ht="17" x14ac:dyDescent="0.2">
      <c r="A20" s="52" t="s">
        <v>22</v>
      </c>
      <c r="B20" s="45" t="s">
        <v>94</v>
      </c>
      <c r="C20" s="46" t="s">
        <v>100</v>
      </c>
      <c r="D20" s="46" t="s">
        <v>91</v>
      </c>
      <c r="E20" s="46" t="s">
        <v>26</v>
      </c>
      <c r="F20" s="46" t="s">
        <v>41</v>
      </c>
      <c r="G20" s="53" t="s">
        <v>101</v>
      </c>
      <c r="H20" s="53" t="s">
        <v>101</v>
      </c>
      <c r="I20" s="53" t="s">
        <v>101</v>
      </c>
      <c r="J20" s="46">
        <v>1968</v>
      </c>
      <c r="K20" s="48">
        <f t="shared" ca="1" si="0"/>
        <v>58</v>
      </c>
      <c r="L20" s="48" t="s">
        <v>102</v>
      </c>
      <c r="M20" s="46" t="s">
        <v>103</v>
      </c>
      <c r="T20" s="48"/>
      <c r="U20" s="48"/>
      <c r="V20" s="48"/>
      <c r="W20" s="48"/>
    </row>
    <row r="21" spans="1:23" s="85" customFormat="1" ht="17" x14ac:dyDescent="0.2">
      <c r="A21" s="83" t="s">
        <v>22</v>
      </c>
      <c r="B21" s="84" t="s">
        <v>94</v>
      </c>
      <c r="C21" s="85" t="s">
        <v>104</v>
      </c>
      <c r="D21" s="85" t="s">
        <v>105</v>
      </c>
      <c r="E21" s="85" t="s">
        <v>26</v>
      </c>
      <c r="F21" s="85" t="s">
        <v>41</v>
      </c>
      <c r="G21" s="86">
        <v>44546</v>
      </c>
      <c r="H21" s="85">
        <v>3</v>
      </c>
      <c r="I21" s="86">
        <v>44546</v>
      </c>
      <c r="J21" s="85">
        <v>1961</v>
      </c>
      <c r="K21" s="87">
        <f t="shared" ca="1" si="0"/>
        <v>65</v>
      </c>
      <c r="L21" s="87">
        <v>2001</v>
      </c>
      <c r="M21" s="85" t="s">
        <v>106</v>
      </c>
      <c r="T21" s="88"/>
      <c r="U21" s="88"/>
      <c r="V21" s="88"/>
      <c r="W21" s="88"/>
    </row>
    <row r="22" spans="1:23" ht="17" x14ac:dyDescent="0.2">
      <c r="A22" s="9" t="s">
        <v>22</v>
      </c>
      <c r="B22" s="7" t="s">
        <v>94</v>
      </c>
      <c r="C22" t="s">
        <v>107</v>
      </c>
      <c r="D22" t="s">
        <v>108</v>
      </c>
      <c r="E22" t="s">
        <v>26</v>
      </c>
      <c r="F22" t="s">
        <v>41</v>
      </c>
      <c r="G22" s="39">
        <v>44546</v>
      </c>
      <c r="H22">
        <v>3</v>
      </c>
      <c r="I22" s="39">
        <v>44562</v>
      </c>
      <c r="J22">
        <v>1967</v>
      </c>
      <c r="K22" s="4">
        <f t="shared" ca="1" si="0"/>
        <v>59</v>
      </c>
      <c r="L22" s="4">
        <v>2013</v>
      </c>
      <c r="M22" t="s">
        <v>42</v>
      </c>
    </row>
    <row r="23" spans="1:23" ht="17" x14ac:dyDescent="0.2">
      <c r="A23" s="9" t="s">
        <v>22</v>
      </c>
      <c r="B23" s="7" t="s">
        <v>94</v>
      </c>
      <c r="C23" t="s">
        <v>109</v>
      </c>
      <c r="D23" t="s">
        <v>110</v>
      </c>
      <c r="E23" t="s">
        <v>26</v>
      </c>
      <c r="F23" t="s">
        <v>41</v>
      </c>
      <c r="G23" s="39">
        <v>44546</v>
      </c>
      <c r="H23">
        <v>3</v>
      </c>
      <c r="I23" s="39">
        <v>45292</v>
      </c>
      <c r="J23">
        <v>1966</v>
      </c>
      <c r="K23" s="4">
        <f t="shared" ca="1" si="0"/>
        <v>60</v>
      </c>
      <c r="L23" s="4">
        <v>2017</v>
      </c>
      <c r="M23" t="s">
        <v>111</v>
      </c>
    </row>
    <row r="24" spans="1:23" ht="17" x14ac:dyDescent="0.2">
      <c r="A24" s="9" t="s">
        <v>22</v>
      </c>
      <c r="B24" s="7" t="s">
        <v>94</v>
      </c>
      <c r="C24" t="s">
        <v>112</v>
      </c>
      <c r="D24" t="s">
        <v>113</v>
      </c>
      <c r="E24" t="s">
        <v>48</v>
      </c>
      <c r="J24">
        <v>1986</v>
      </c>
      <c r="K24" s="4">
        <f t="shared" ca="1" si="0"/>
        <v>40</v>
      </c>
      <c r="L24" s="4">
        <v>2023</v>
      </c>
      <c r="M24" s="4" t="s">
        <v>76</v>
      </c>
      <c r="R24" t="s">
        <v>26</v>
      </c>
      <c r="S24" s="42">
        <v>45809</v>
      </c>
      <c r="T24" s="66" t="s">
        <v>98</v>
      </c>
      <c r="U24" s="29" t="s">
        <v>101</v>
      </c>
    </row>
    <row r="25" spans="1:23" ht="17" x14ac:dyDescent="0.2">
      <c r="A25" s="9" t="s">
        <v>22</v>
      </c>
      <c r="B25" s="7" t="s">
        <v>94</v>
      </c>
      <c r="C25" t="s">
        <v>114</v>
      </c>
      <c r="D25" t="s">
        <v>115</v>
      </c>
      <c r="E25" t="s">
        <v>48</v>
      </c>
      <c r="F25" t="s">
        <v>49</v>
      </c>
      <c r="G25" s="39">
        <v>45170</v>
      </c>
      <c r="H25">
        <v>3</v>
      </c>
      <c r="I25" s="39">
        <v>45170</v>
      </c>
      <c r="J25">
        <v>1977</v>
      </c>
      <c r="K25" s="4">
        <f t="shared" ca="1" si="0"/>
        <v>49</v>
      </c>
      <c r="L25" s="4">
        <v>2023</v>
      </c>
      <c r="M25" t="s">
        <v>28</v>
      </c>
      <c r="R25" t="s">
        <v>26</v>
      </c>
      <c r="S25" s="42">
        <v>45078</v>
      </c>
      <c r="T25" s="66"/>
      <c r="U25" s="61" t="s">
        <v>116</v>
      </c>
    </row>
    <row r="26" spans="1:23" ht="17" x14ac:dyDescent="0.2">
      <c r="A26" s="43" t="s">
        <v>22</v>
      </c>
      <c r="B26" s="7" t="s">
        <v>94</v>
      </c>
      <c r="C26" t="s">
        <v>117</v>
      </c>
      <c r="D26" t="s">
        <v>118</v>
      </c>
      <c r="E26" t="s">
        <v>119</v>
      </c>
      <c r="J26">
        <v>1985</v>
      </c>
      <c r="K26" s="4">
        <f t="shared" ca="1" si="0"/>
        <v>41</v>
      </c>
      <c r="L26" s="29">
        <v>2023</v>
      </c>
      <c r="M26" s="29" t="s">
        <v>120</v>
      </c>
      <c r="R26" t="s">
        <v>48</v>
      </c>
      <c r="S26" s="42">
        <v>45078</v>
      </c>
      <c r="T26" s="29" t="s">
        <v>98</v>
      </c>
      <c r="U26" s="61" t="s">
        <v>121</v>
      </c>
    </row>
    <row r="27" spans="1:23" ht="17" x14ac:dyDescent="0.2">
      <c r="A27" s="9" t="s">
        <v>22</v>
      </c>
      <c r="B27" s="7" t="s">
        <v>94</v>
      </c>
      <c r="C27" t="s">
        <v>122</v>
      </c>
      <c r="D27" t="s">
        <v>123</v>
      </c>
      <c r="E27" t="s">
        <v>97</v>
      </c>
      <c r="G27" s="39">
        <v>45536</v>
      </c>
      <c r="I27" s="39">
        <v>45536</v>
      </c>
      <c r="J27">
        <v>1981</v>
      </c>
      <c r="K27" s="4">
        <f t="shared" ca="1" si="0"/>
        <v>45</v>
      </c>
      <c r="L27" s="4">
        <v>2024</v>
      </c>
      <c r="M27" t="s">
        <v>124</v>
      </c>
      <c r="U27" s="61" t="s">
        <v>125</v>
      </c>
    </row>
    <row r="28" spans="1:23" ht="17" x14ac:dyDescent="0.2">
      <c r="A28" s="9" t="s">
        <v>22</v>
      </c>
      <c r="B28" s="7" t="s">
        <v>94</v>
      </c>
      <c r="C28" t="s">
        <v>126</v>
      </c>
      <c r="D28" t="s">
        <v>91</v>
      </c>
      <c r="E28" t="s">
        <v>92</v>
      </c>
      <c r="J28">
        <v>1966</v>
      </c>
      <c r="K28" s="4">
        <f t="shared" ca="1" si="0"/>
        <v>60</v>
      </c>
      <c r="L28" s="29">
        <v>2022</v>
      </c>
      <c r="M28" t="s">
        <v>111</v>
      </c>
      <c r="S28" s="42">
        <v>44682</v>
      </c>
    </row>
    <row r="29" spans="1:23" ht="17" x14ac:dyDescent="0.2">
      <c r="A29" s="9" t="s">
        <v>22</v>
      </c>
      <c r="B29" s="7" t="s">
        <v>127</v>
      </c>
      <c r="C29" t="s">
        <v>128</v>
      </c>
      <c r="D29" t="s">
        <v>129</v>
      </c>
      <c r="E29" t="s">
        <v>26</v>
      </c>
      <c r="F29" t="s">
        <v>130</v>
      </c>
      <c r="G29" s="39">
        <v>44546</v>
      </c>
      <c r="H29">
        <v>1</v>
      </c>
      <c r="I29" s="39">
        <v>44546</v>
      </c>
      <c r="J29">
        <v>1959</v>
      </c>
      <c r="K29" s="4">
        <f t="shared" ref="K29" ca="1" si="1">YEAR(NOW())-J29</f>
        <v>67</v>
      </c>
      <c r="L29" s="4">
        <v>2005</v>
      </c>
      <c r="M29">
        <v>2028</v>
      </c>
    </row>
    <row r="30" spans="1:23" ht="17" x14ac:dyDescent="0.2">
      <c r="A30" s="9" t="s">
        <v>22</v>
      </c>
      <c r="B30" s="7" t="s">
        <v>127</v>
      </c>
      <c r="C30" t="s">
        <v>131</v>
      </c>
      <c r="D30" t="s">
        <v>132</v>
      </c>
      <c r="G30" s="39"/>
      <c r="I30" s="39"/>
      <c r="K30" s="4"/>
      <c r="L30" s="4"/>
      <c r="U30" s="62" t="s">
        <v>133</v>
      </c>
    </row>
    <row r="31" spans="1:23" ht="34" x14ac:dyDescent="0.2">
      <c r="A31" s="17" t="s">
        <v>134</v>
      </c>
      <c r="B31" s="7" t="s">
        <v>135</v>
      </c>
      <c r="C31" t="s">
        <v>136</v>
      </c>
      <c r="D31" t="s">
        <v>137</v>
      </c>
      <c r="E31" t="s">
        <v>26</v>
      </c>
      <c r="F31" t="s">
        <v>27</v>
      </c>
      <c r="G31" s="39">
        <v>44805</v>
      </c>
      <c r="H31">
        <v>3</v>
      </c>
      <c r="I31" s="39">
        <v>45170</v>
      </c>
      <c r="J31">
        <v>1977</v>
      </c>
      <c r="K31" s="4">
        <f t="shared" ca="1" si="0"/>
        <v>49</v>
      </c>
      <c r="L31" s="4">
        <v>2022</v>
      </c>
      <c r="M31" t="s">
        <v>28</v>
      </c>
    </row>
    <row r="32" spans="1:23" ht="36" customHeight="1" x14ac:dyDescent="0.2">
      <c r="A32" s="44" t="s">
        <v>134</v>
      </c>
      <c r="B32" s="7" t="s">
        <v>138</v>
      </c>
      <c r="C32" t="s">
        <v>139</v>
      </c>
      <c r="D32" t="s">
        <v>140</v>
      </c>
      <c r="E32" t="s">
        <v>119</v>
      </c>
      <c r="J32">
        <v>1985</v>
      </c>
      <c r="K32" s="4">
        <f t="shared" ca="1" si="0"/>
        <v>41</v>
      </c>
      <c r="L32" s="29">
        <v>2025</v>
      </c>
      <c r="M32" s="29" t="s">
        <v>120</v>
      </c>
      <c r="S32">
        <v>2024</v>
      </c>
      <c r="U32" s="62" t="s">
        <v>141</v>
      </c>
    </row>
    <row r="33" spans="1:23" ht="42" customHeight="1" x14ac:dyDescent="0.2">
      <c r="A33" s="17" t="s">
        <v>134</v>
      </c>
      <c r="B33" s="7" t="s">
        <v>138</v>
      </c>
      <c r="C33" t="s">
        <v>142</v>
      </c>
      <c r="D33" t="s">
        <v>143</v>
      </c>
      <c r="E33" t="s">
        <v>92</v>
      </c>
      <c r="J33">
        <v>1970</v>
      </c>
      <c r="K33" s="4">
        <f t="shared" ca="1" si="0"/>
        <v>56</v>
      </c>
      <c r="L33" s="4">
        <v>2022</v>
      </c>
      <c r="M33" s="29" t="s">
        <v>144</v>
      </c>
    </row>
    <row r="34" spans="1:23" s="85" customFormat="1" ht="17" x14ac:dyDescent="0.2">
      <c r="A34" s="89" t="s">
        <v>145</v>
      </c>
      <c r="B34" s="84" t="s">
        <v>146</v>
      </c>
      <c r="C34" s="85" t="s">
        <v>147</v>
      </c>
      <c r="D34" s="85" t="s">
        <v>129</v>
      </c>
      <c r="E34" s="85" t="s">
        <v>26</v>
      </c>
      <c r="F34" s="85" t="s">
        <v>33</v>
      </c>
      <c r="G34" s="86">
        <v>44546</v>
      </c>
      <c r="H34" s="85">
        <v>2</v>
      </c>
      <c r="I34" s="86">
        <v>45170</v>
      </c>
      <c r="J34" s="85">
        <v>1956</v>
      </c>
      <c r="K34" s="87">
        <f t="shared" ca="1" si="0"/>
        <v>70</v>
      </c>
      <c r="L34" s="88">
        <v>2013</v>
      </c>
      <c r="M34" s="85">
        <v>2023</v>
      </c>
      <c r="T34" s="88" t="s">
        <v>148</v>
      </c>
      <c r="U34" s="88"/>
      <c r="V34" s="88"/>
      <c r="W34" s="88"/>
    </row>
    <row r="35" spans="1:23" ht="17" x14ac:dyDescent="0.2">
      <c r="A35" s="10" t="s">
        <v>145</v>
      </c>
      <c r="B35" s="7" t="s">
        <v>146</v>
      </c>
      <c r="C35" t="s">
        <v>149</v>
      </c>
      <c r="D35" t="s">
        <v>150</v>
      </c>
      <c r="E35" t="s">
        <v>119</v>
      </c>
      <c r="J35">
        <v>1989</v>
      </c>
      <c r="K35" s="4">
        <f t="shared" ca="1" si="0"/>
        <v>37</v>
      </c>
      <c r="L35" s="29">
        <v>2024</v>
      </c>
      <c r="M35" t="s">
        <v>151</v>
      </c>
      <c r="R35" t="s">
        <v>119</v>
      </c>
      <c r="S35" s="42">
        <v>45383</v>
      </c>
      <c r="U35" s="29" t="s">
        <v>152</v>
      </c>
    </row>
    <row r="36" spans="1:23" ht="17" x14ac:dyDescent="0.2">
      <c r="A36" s="10" t="s">
        <v>145</v>
      </c>
      <c r="B36" s="7" t="s">
        <v>153</v>
      </c>
      <c r="C36" t="s">
        <v>154</v>
      </c>
      <c r="D36" t="s">
        <v>155</v>
      </c>
      <c r="E36" t="s">
        <v>26</v>
      </c>
      <c r="F36" t="s">
        <v>27</v>
      </c>
      <c r="G36" s="39">
        <v>44546</v>
      </c>
      <c r="H36">
        <v>6</v>
      </c>
      <c r="I36" s="39">
        <v>44546</v>
      </c>
      <c r="J36">
        <v>1977</v>
      </c>
      <c r="K36" s="4">
        <f t="shared" ca="1" si="0"/>
        <v>49</v>
      </c>
      <c r="L36" s="29">
        <v>2020</v>
      </c>
      <c r="M36" t="s">
        <v>28</v>
      </c>
    </row>
    <row r="37" spans="1:23" ht="17" x14ac:dyDescent="0.2">
      <c r="A37" s="10" t="s">
        <v>145</v>
      </c>
      <c r="B37" s="7" t="s">
        <v>153</v>
      </c>
      <c r="C37" t="s">
        <v>156</v>
      </c>
      <c r="D37" t="s">
        <v>157</v>
      </c>
      <c r="E37" t="s">
        <v>26</v>
      </c>
      <c r="F37" t="s">
        <v>41</v>
      </c>
      <c r="G37" s="39">
        <v>45170</v>
      </c>
      <c r="H37">
        <v>2</v>
      </c>
      <c r="I37" s="39">
        <v>45170</v>
      </c>
      <c r="J37">
        <v>1976</v>
      </c>
      <c r="K37" s="4">
        <f t="shared" ca="1" si="0"/>
        <v>50</v>
      </c>
      <c r="L37" s="29">
        <v>2015</v>
      </c>
      <c r="M37" t="s">
        <v>158</v>
      </c>
    </row>
    <row r="38" spans="1:23" ht="34" customHeight="1" x14ac:dyDescent="0.2">
      <c r="A38" s="10" t="s">
        <v>145</v>
      </c>
      <c r="B38" s="7" t="s">
        <v>153</v>
      </c>
      <c r="C38" t="s">
        <v>159</v>
      </c>
      <c r="D38" s="7" t="s">
        <v>160</v>
      </c>
      <c r="E38" t="s">
        <v>26</v>
      </c>
      <c r="G38" s="39">
        <v>45901</v>
      </c>
      <c r="I38" s="39">
        <v>45901</v>
      </c>
      <c r="J38">
        <v>1987</v>
      </c>
      <c r="K38" s="4">
        <f t="shared" ca="1" si="0"/>
        <v>39</v>
      </c>
      <c r="L38" s="29">
        <v>2025</v>
      </c>
      <c r="M38" t="s">
        <v>57</v>
      </c>
      <c r="R38" t="s">
        <v>26</v>
      </c>
      <c r="T38" s="29" t="s">
        <v>161</v>
      </c>
    </row>
    <row r="39" spans="1:23" ht="34" x14ac:dyDescent="0.2">
      <c r="A39" s="11" t="s">
        <v>162</v>
      </c>
      <c r="B39" s="7" t="s">
        <v>163</v>
      </c>
      <c r="C39" t="s">
        <v>164</v>
      </c>
      <c r="D39" t="s">
        <v>165</v>
      </c>
      <c r="E39" t="s">
        <v>26</v>
      </c>
      <c r="F39" t="s">
        <v>33</v>
      </c>
      <c r="G39" s="39">
        <v>44546</v>
      </c>
      <c r="H39">
        <v>1</v>
      </c>
      <c r="I39" s="39">
        <v>45902</v>
      </c>
      <c r="J39">
        <v>1960</v>
      </c>
      <c r="K39" s="4">
        <f t="shared" ca="1" si="0"/>
        <v>66</v>
      </c>
      <c r="L39" s="29">
        <v>2001</v>
      </c>
      <c r="M39" t="s">
        <v>166</v>
      </c>
    </row>
    <row r="40" spans="1:23" s="46" customFormat="1" ht="34" x14ac:dyDescent="0.2">
      <c r="A40" s="51" t="s">
        <v>162</v>
      </c>
      <c r="B40" s="45" t="s">
        <v>163</v>
      </c>
      <c r="C40" s="46" t="s">
        <v>167</v>
      </c>
      <c r="D40" s="46" t="s">
        <v>168</v>
      </c>
      <c r="E40" s="46" t="s">
        <v>26</v>
      </c>
      <c r="F40" s="46" t="s">
        <v>27</v>
      </c>
      <c r="G40" s="50">
        <v>45536</v>
      </c>
      <c r="H40" s="46">
        <v>5</v>
      </c>
      <c r="I40" s="39">
        <v>45903</v>
      </c>
      <c r="J40" s="46">
        <v>1974</v>
      </c>
      <c r="K40" s="47">
        <f t="shared" ca="1" si="0"/>
        <v>52</v>
      </c>
      <c r="L40" s="48">
        <v>2024</v>
      </c>
      <c r="M40" s="46" t="s">
        <v>169</v>
      </c>
      <c r="T40" s="48"/>
      <c r="U40" s="48"/>
      <c r="V40" s="48"/>
      <c r="W40" s="48"/>
    </row>
    <row r="41" spans="1:23" s="36" customFormat="1" ht="34" x14ac:dyDescent="0.2">
      <c r="A41" s="64" t="s">
        <v>162</v>
      </c>
      <c r="B41" s="35" t="s">
        <v>163</v>
      </c>
      <c r="C41" s="36" t="s">
        <v>170</v>
      </c>
      <c r="D41" s="36" t="s">
        <v>56</v>
      </c>
      <c r="E41" s="36" t="s">
        <v>26</v>
      </c>
      <c r="F41" s="36" t="s">
        <v>41</v>
      </c>
      <c r="G41" s="40">
        <v>44546</v>
      </c>
      <c r="H41" s="36">
        <v>3</v>
      </c>
      <c r="I41" s="39">
        <v>45904</v>
      </c>
      <c r="J41" s="36">
        <v>1966</v>
      </c>
      <c r="K41" s="65">
        <f t="shared" ca="1" si="0"/>
        <v>60</v>
      </c>
      <c r="L41" s="37">
        <v>2006</v>
      </c>
      <c r="M41" s="36" t="s">
        <v>70</v>
      </c>
      <c r="T41" s="37"/>
      <c r="U41" s="37" t="s">
        <v>171</v>
      </c>
      <c r="V41" s="37"/>
      <c r="W41" s="37"/>
    </row>
    <row r="42" spans="1:23" ht="34" x14ac:dyDescent="0.2">
      <c r="A42" s="11" t="s">
        <v>162</v>
      </c>
      <c r="B42" s="7" t="s">
        <v>163</v>
      </c>
      <c r="C42" t="s">
        <v>172</v>
      </c>
      <c r="D42" t="s">
        <v>173</v>
      </c>
      <c r="E42" t="s">
        <v>119</v>
      </c>
      <c r="I42" s="39">
        <v>45905</v>
      </c>
      <c r="J42" s="33">
        <v>1991</v>
      </c>
      <c r="K42" s="32">
        <f t="shared" ca="1" si="0"/>
        <v>35</v>
      </c>
      <c r="L42" s="32">
        <v>2022</v>
      </c>
      <c r="M42" s="33" t="s">
        <v>174</v>
      </c>
      <c r="O42" s="4" t="s">
        <v>29</v>
      </c>
      <c r="P42" s="60" t="s">
        <v>52</v>
      </c>
      <c r="Q42" s="4" t="s">
        <v>29</v>
      </c>
      <c r="S42">
        <v>2025</v>
      </c>
      <c r="U42" s="62" t="s">
        <v>175</v>
      </c>
    </row>
    <row r="43" spans="1:23" ht="34" x14ac:dyDescent="0.2">
      <c r="A43" s="11" t="s">
        <v>162</v>
      </c>
      <c r="B43" s="7" t="s">
        <v>163</v>
      </c>
      <c r="C43" t="s">
        <v>176</v>
      </c>
      <c r="D43" t="s">
        <v>177</v>
      </c>
      <c r="E43" t="s">
        <v>48</v>
      </c>
      <c r="G43" s="39">
        <v>45901</v>
      </c>
      <c r="I43" s="39">
        <v>45906</v>
      </c>
      <c r="J43">
        <v>1990</v>
      </c>
      <c r="K43" s="4">
        <f t="shared" ca="1" si="0"/>
        <v>36</v>
      </c>
      <c r="L43" s="29">
        <v>2025</v>
      </c>
      <c r="M43" t="s">
        <v>178</v>
      </c>
      <c r="N43" s="4"/>
      <c r="O43" s="4" t="s">
        <v>29</v>
      </c>
      <c r="P43" s="4" t="s">
        <v>52</v>
      </c>
      <c r="Q43" s="4" t="s">
        <v>29</v>
      </c>
      <c r="T43" s="4" t="s">
        <v>179</v>
      </c>
      <c r="U43" s="62" t="s">
        <v>180</v>
      </c>
    </row>
    <row r="44" spans="1:23" ht="34" x14ac:dyDescent="0.2">
      <c r="A44" s="11" t="s">
        <v>162</v>
      </c>
      <c r="B44" s="7" t="s">
        <v>163</v>
      </c>
      <c r="C44" t="s">
        <v>181</v>
      </c>
      <c r="D44" t="s">
        <v>182</v>
      </c>
      <c r="E44" t="s">
        <v>92</v>
      </c>
      <c r="I44" s="39">
        <v>45907</v>
      </c>
      <c r="J44">
        <v>1978</v>
      </c>
      <c r="K44" s="4">
        <f t="shared" ca="1" si="0"/>
        <v>48</v>
      </c>
      <c r="L44" s="29">
        <v>2023</v>
      </c>
      <c r="M44" t="s">
        <v>183</v>
      </c>
      <c r="U44" s="62" t="s">
        <v>184</v>
      </c>
    </row>
    <row r="45" spans="1:23" ht="34" x14ac:dyDescent="0.2">
      <c r="A45" s="11" t="s">
        <v>162</v>
      </c>
      <c r="B45" s="7" t="s">
        <v>185</v>
      </c>
      <c r="C45" t="s">
        <v>186</v>
      </c>
      <c r="D45" t="s">
        <v>115</v>
      </c>
      <c r="E45" t="s">
        <v>26</v>
      </c>
      <c r="F45" s="90" t="s">
        <v>27</v>
      </c>
      <c r="G45" s="39">
        <v>44546</v>
      </c>
      <c r="H45">
        <v>7</v>
      </c>
      <c r="I45" s="39">
        <v>45908</v>
      </c>
      <c r="J45">
        <v>1970</v>
      </c>
      <c r="K45" s="4">
        <f t="shared" ca="1" si="0"/>
        <v>56</v>
      </c>
      <c r="L45" s="29">
        <v>2021</v>
      </c>
      <c r="M45" t="s">
        <v>187</v>
      </c>
    </row>
    <row r="46" spans="1:23" ht="34" x14ac:dyDescent="0.2">
      <c r="A46" s="11" t="s">
        <v>162</v>
      </c>
      <c r="B46" s="7" t="s">
        <v>188</v>
      </c>
      <c r="C46" t="s">
        <v>189</v>
      </c>
      <c r="D46" t="s">
        <v>190</v>
      </c>
      <c r="E46" t="s">
        <v>119</v>
      </c>
      <c r="G46" s="39"/>
      <c r="I46" s="39">
        <v>45909</v>
      </c>
      <c r="J46">
        <v>1990</v>
      </c>
      <c r="K46" s="4">
        <f t="shared" ca="1" si="0"/>
        <v>36</v>
      </c>
      <c r="L46" s="29">
        <v>2025</v>
      </c>
      <c r="M46" t="s">
        <v>178</v>
      </c>
      <c r="T46" s="66">
        <v>45809</v>
      </c>
    </row>
    <row r="47" spans="1:23" ht="34" x14ac:dyDescent="0.2">
      <c r="A47" s="11" t="s">
        <v>162</v>
      </c>
      <c r="B47" s="7" t="s">
        <v>188</v>
      </c>
      <c r="C47" t="s">
        <v>191</v>
      </c>
      <c r="D47" t="s">
        <v>192</v>
      </c>
      <c r="E47" t="s">
        <v>26</v>
      </c>
      <c r="F47" t="s">
        <v>27</v>
      </c>
      <c r="G47" s="39">
        <v>44805</v>
      </c>
      <c r="H47">
        <v>3</v>
      </c>
      <c r="I47" s="39">
        <v>45910</v>
      </c>
      <c r="J47">
        <v>1983</v>
      </c>
      <c r="K47" s="4">
        <f t="shared" ca="1" si="0"/>
        <v>43</v>
      </c>
      <c r="L47" s="29">
        <v>2022</v>
      </c>
      <c r="M47" t="s">
        <v>193</v>
      </c>
    </row>
    <row r="48" spans="1:23" ht="34" x14ac:dyDescent="0.2">
      <c r="A48" s="11" t="s">
        <v>162</v>
      </c>
      <c r="B48" s="7" t="s">
        <v>194</v>
      </c>
      <c r="C48" s="12"/>
      <c r="D48" s="12"/>
      <c r="E48" s="12"/>
      <c r="F48" s="12"/>
      <c r="G48" s="12"/>
      <c r="H48" s="12"/>
      <c r="I48" s="39">
        <v>45911</v>
      </c>
      <c r="J48" s="12"/>
      <c r="K48" s="13"/>
      <c r="L48" s="31"/>
    </row>
    <row r="49" spans="1:23" ht="17" x14ac:dyDescent="0.2">
      <c r="A49" s="14" t="s">
        <v>195</v>
      </c>
      <c r="B49" s="7" t="s">
        <v>196</v>
      </c>
      <c r="C49" t="s">
        <v>197</v>
      </c>
      <c r="D49" t="s">
        <v>198</v>
      </c>
      <c r="E49" t="s">
        <v>26</v>
      </c>
      <c r="F49" t="s">
        <v>41</v>
      </c>
      <c r="G49" s="39">
        <v>45170</v>
      </c>
      <c r="H49">
        <v>2</v>
      </c>
      <c r="I49" s="39">
        <v>45912</v>
      </c>
      <c r="J49">
        <v>1970</v>
      </c>
      <c r="K49" s="4">
        <f t="shared" ca="1" si="0"/>
        <v>56</v>
      </c>
      <c r="L49" s="29">
        <v>2018</v>
      </c>
      <c r="M49" t="s">
        <v>187</v>
      </c>
    </row>
    <row r="50" spans="1:23" ht="17" x14ac:dyDescent="0.2">
      <c r="A50" s="14" t="s">
        <v>199</v>
      </c>
      <c r="B50" s="7" t="s">
        <v>196</v>
      </c>
      <c r="C50" t="s">
        <v>200</v>
      </c>
      <c r="D50" t="s">
        <v>201</v>
      </c>
      <c r="E50" t="s">
        <v>119</v>
      </c>
      <c r="G50" s="39">
        <v>45901</v>
      </c>
      <c r="I50" s="39">
        <v>45913</v>
      </c>
      <c r="J50">
        <v>1984</v>
      </c>
      <c r="K50" s="4">
        <v>41</v>
      </c>
      <c r="L50" s="29">
        <v>2025</v>
      </c>
      <c r="M50" t="s">
        <v>45</v>
      </c>
      <c r="S50">
        <v>2025</v>
      </c>
      <c r="T50" s="29" t="s">
        <v>202</v>
      </c>
      <c r="U50" s="29" t="s">
        <v>203</v>
      </c>
    </row>
    <row r="51" spans="1:23" ht="17" x14ac:dyDescent="0.2">
      <c r="A51" s="14" t="s">
        <v>195</v>
      </c>
      <c r="B51" s="7" t="s">
        <v>196</v>
      </c>
      <c r="C51" t="s">
        <v>204</v>
      </c>
      <c r="D51" t="s">
        <v>110</v>
      </c>
      <c r="E51" t="s">
        <v>205</v>
      </c>
      <c r="G51" s="39">
        <v>45901</v>
      </c>
      <c r="I51" s="39">
        <v>45914</v>
      </c>
      <c r="J51">
        <v>1981</v>
      </c>
      <c r="K51" s="4">
        <f t="shared" ca="1" si="0"/>
        <v>45</v>
      </c>
      <c r="L51" s="29">
        <v>2021</v>
      </c>
      <c r="M51" t="s">
        <v>124</v>
      </c>
    </row>
    <row r="52" spans="1:23" s="93" customFormat="1" ht="17" x14ac:dyDescent="0.2">
      <c r="A52" s="91" t="s">
        <v>195</v>
      </c>
      <c r="B52" s="92" t="s">
        <v>206</v>
      </c>
      <c r="C52" s="93" t="s">
        <v>207</v>
      </c>
      <c r="D52" s="93" t="s">
        <v>208</v>
      </c>
      <c r="E52" s="93" t="s">
        <v>209</v>
      </c>
      <c r="G52" s="94">
        <v>44546</v>
      </c>
      <c r="H52" s="93">
        <v>2</v>
      </c>
      <c r="I52" s="39">
        <v>45915</v>
      </c>
      <c r="J52" s="93">
        <v>1976</v>
      </c>
      <c r="K52" s="95">
        <f t="shared" ca="1" si="0"/>
        <v>50</v>
      </c>
      <c r="L52" s="96">
        <v>2026</v>
      </c>
      <c r="T52" s="96"/>
      <c r="U52" s="62" t="s">
        <v>210</v>
      </c>
      <c r="V52" s="96"/>
      <c r="W52" s="96"/>
    </row>
    <row r="53" spans="1:23" ht="17" x14ac:dyDescent="0.2">
      <c r="A53" s="15" t="s">
        <v>211</v>
      </c>
      <c r="B53" s="7" t="s">
        <v>212</v>
      </c>
      <c r="C53" t="s">
        <v>213</v>
      </c>
      <c r="D53" t="s">
        <v>214</v>
      </c>
      <c r="E53" t="s">
        <v>26</v>
      </c>
      <c r="F53" t="s">
        <v>130</v>
      </c>
      <c r="G53" s="39">
        <v>45170</v>
      </c>
      <c r="H53">
        <v>1</v>
      </c>
      <c r="I53" s="39">
        <v>45916</v>
      </c>
      <c r="J53">
        <v>1967</v>
      </c>
      <c r="K53" s="4">
        <f t="shared" ca="1" si="0"/>
        <v>59</v>
      </c>
      <c r="L53" s="29">
        <v>2008</v>
      </c>
      <c r="M53" t="s">
        <v>42</v>
      </c>
    </row>
    <row r="54" spans="1:23" ht="17" x14ac:dyDescent="0.2">
      <c r="A54" s="15" t="s">
        <v>211</v>
      </c>
      <c r="B54" s="7" t="s">
        <v>212</v>
      </c>
      <c r="C54" t="s">
        <v>215</v>
      </c>
      <c r="D54" t="s">
        <v>216</v>
      </c>
      <c r="E54" t="s">
        <v>48</v>
      </c>
      <c r="G54" s="39">
        <v>45901</v>
      </c>
      <c r="I54" s="39">
        <v>45917</v>
      </c>
      <c r="J54">
        <v>1983</v>
      </c>
      <c r="K54" s="4">
        <f t="shared" ca="1" si="0"/>
        <v>43</v>
      </c>
      <c r="L54" s="29">
        <v>2025</v>
      </c>
      <c r="M54" t="s">
        <v>217</v>
      </c>
      <c r="S54">
        <v>2025</v>
      </c>
      <c r="T54" s="29" t="s">
        <v>98</v>
      </c>
      <c r="U54" s="29" t="s">
        <v>218</v>
      </c>
    </row>
    <row r="55" spans="1:23" ht="17" x14ac:dyDescent="0.2">
      <c r="A55" s="15" t="s">
        <v>211</v>
      </c>
      <c r="B55" s="7" t="s">
        <v>212</v>
      </c>
      <c r="C55" t="s">
        <v>219</v>
      </c>
      <c r="D55" t="s">
        <v>220</v>
      </c>
      <c r="E55" t="s">
        <v>26</v>
      </c>
      <c r="F55" t="s">
        <v>41</v>
      </c>
      <c r="G55" s="39">
        <v>44546</v>
      </c>
      <c r="H55">
        <v>3</v>
      </c>
      <c r="I55" s="39">
        <v>45918</v>
      </c>
      <c r="J55">
        <v>1967</v>
      </c>
      <c r="K55" s="4">
        <f t="shared" ca="1" si="0"/>
        <v>59</v>
      </c>
      <c r="L55" s="29">
        <v>2011</v>
      </c>
      <c r="M55" t="s">
        <v>42</v>
      </c>
    </row>
    <row r="56" spans="1:23" ht="17" x14ac:dyDescent="0.2">
      <c r="A56" s="15" t="s">
        <v>211</v>
      </c>
      <c r="B56" s="7" t="s">
        <v>221</v>
      </c>
      <c r="C56" t="s">
        <v>222</v>
      </c>
      <c r="D56" t="s">
        <v>223</v>
      </c>
      <c r="E56" t="s">
        <v>224</v>
      </c>
      <c r="G56" s="39"/>
      <c r="I56" s="39">
        <v>45919</v>
      </c>
      <c r="K56" s="4"/>
      <c r="U56" s="62" t="s">
        <v>225</v>
      </c>
    </row>
    <row r="57" spans="1:23" ht="17" x14ac:dyDescent="0.2">
      <c r="A57" s="15" t="s">
        <v>211</v>
      </c>
      <c r="B57" s="7" t="s">
        <v>221</v>
      </c>
      <c r="C57" t="s">
        <v>226</v>
      </c>
      <c r="D57" t="s">
        <v>227</v>
      </c>
      <c r="E57" t="s">
        <v>26</v>
      </c>
      <c r="F57" t="s">
        <v>228</v>
      </c>
      <c r="G57" s="39">
        <v>44546</v>
      </c>
      <c r="H57">
        <v>2</v>
      </c>
      <c r="I57" s="39">
        <v>45920</v>
      </c>
      <c r="J57">
        <v>1960</v>
      </c>
      <c r="K57" s="4">
        <f t="shared" ca="1" si="0"/>
        <v>66</v>
      </c>
      <c r="L57" s="29">
        <v>1996</v>
      </c>
      <c r="M57">
        <v>2026</v>
      </c>
      <c r="T57" s="29" t="s">
        <v>229</v>
      </c>
      <c r="U57" s="29" t="s">
        <v>230</v>
      </c>
    </row>
    <row r="58" spans="1:23" s="93" customFormat="1" ht="17" x14ac:dyDescent="0.2">
      <c r="A58" s="97" t="s">
        <v>211</v>
      </c>
      <c r="B58" s="92" t="s">
        <v>221</v>
      </c>
      <c r="C58" s="93" t="s">
        <v>231</v>
      </c>
      <c r="D58" s="93" t="s">
        <v>232</v>
      </c>
      <c r="E58" s="93" t="s">
        <v>26</v>
      </c>
      <c r="F58" s="93" t="s">
        <v>27</v>
      </c>
      <c r="G58" s="94">
        <v>45170</v>
      </c>
      <c r="H58" s="93">
        <v>2</v>
      </c>
      <c r="I58" s="39">
        <v>45921</v>
      </c>
      <c r="J58" s="93">
        <v>1988</v>
      </c>
      <c r="K58" s="95">
        <f t="shared" ca="1" si="0"/>
        <v>38</v>
      </c>
      <c r="L58" s="96">
        <v>2023</v>
      </c>
      <c r="M58" s="93" t="s">
        <v>233</v>
      </c>
      <c r="T58" s="96"/>
      <c r="U58" s="96"/>
      <c r="V58" s="96"/>
      <c r="W58" s="96"/>
    </row>
    <row r="59" spans="1:23" s="100" customFormat="1" ht="34" x14ac:dyDescent="0.2">
      <c r="A59" s="98" t="s">
        <v>234</v>
      </c>
      <c r="B59" s="99" t="s">
        <v>235</v>
      </c>
      <c r="C59" s="100" t="s">
        <v>236</v>
      </c>
      <c r="D59" s="100" t="s">
        <v>237</v>
      </c>
      <c r="E59" s="100" t="s">
        <v>26</v>
      </c>
      <c r="F59" s="100" t="s">
        <v>33</v>
      </c>
      <c r="G59" s="101">
        <v>44075</v>
      </c>
      <c r="H59" s="100">
        <v>2</v>
      </c>
      <c r="I59" s="39">
        <v>45922</v>
      </c>
      <c r="J59" s="100">
        <v>1955</v>
      </c>
      <c r="K59" s="102">
        <f t="shared" ca="1" si="0"/>
        <v>71</v>
      </c>
      <c r="L59" s="103">
        <v>1996</v>
      </c>
      <c r="M59" s="100" t="s">
        <v>238</v>
      </c>
      <c r="T59" s="103"/>
      <c r="U59" s="103" t="s">
        <v>239</v>
      </c>
      <c r="V59" s="103"/>
      <c r="W59" s="103"/>
    </row>
    <row r="60" spans="1:23" ht="34" x14ac:dyDescent="0.2">
      <c r="A60" s="16" t="s">
        <v>234</v>
      </c>
      <c r="B60" s="7" t="s">
        <v>235</v>
      </c>
      <c r="C60" t="s">
        <v>240</v>
      </c>
      <c r="D60" t="s">
        <v>241</v>
      </c>
      <c r="E60" t="s">
        <v>26</v>
      </c>
      <c r="F60" t="s">
        <v>27</v>
      </c>
      <c r="G60" s="39">
        <v>45170</v>
      </c>
      <c r="H60">
        <v>6</v>
      </c>
      <c r="I60" s="39">
        <v>45923</v>
      </c>
      <c r="J60">
        <v>1978</v>
      </c>
      <c r="K60" s="4">
        <f t="shared" ca="1" si="0"/>
        <v>48</v>
      </c>
      <c r="L60" s="29">
        <v>2023</v>
      </c>
      <c r="M60" t="s">
        <v>183</v>
      </c>
    </row>
    <row r="61" spans="1:23" s="69" customFormat="1" ht="34" x14ac:dyDescent="0.2">
      <c r="A61" s="67" t="s">
        <v>234</v>
      </c>
      <c r="B61" s="68" t="s">
        <v>235</v>
      </c>
      <c r="C61" s="69" t="s">
        <v>242</v>
      </c>
      <c r="D61" s="69" t="s">
        <v>243</v>
      </c>
      <c r="E61" s="69" t="s">
        <v>26</v>
      </c>
      <c r="F61" s="69" t="s">
        <v>41</v>
      </c>
      <c r="G61" s="70">
        <v>45170</v>
      </c>
      <c r="H61" s="69">
        <v>2</v>
      </c>
      <c r="I61" s="39">
        <v>45924</v>
      </c>
      <c r="J61" s="69">
        <v>1974</v>
      </c>
      <c r="K61" s="71">
        <f t="shared" ca="1" si="0"/>
        <v>52</v>
      </c>
      <c r="L61" s="72">
        <v>2016</v>
      </c>
      <c r="M61" s="69" t="s">
        <v>244</v>
      </c>
      <c r="T61" s="72"/>
      <c r="U61" s="72"/>
      <c r="V61" s="72"/>
      <c r="W61" s="72"/>
    </row>
    <row r="62" spans="1:23" s="75" customFormat="1" ht="34" x14ac:dyDescent="0.2">
      <c r="A62" s="73" t="s">
        <v>234</v>
      </c>
      <c r="B62" s="74" t="s">
        <v>235</v>
      </c>
      <c r="C62" s="75" t="s">
        <v>245</v>
      </c>
      <c r="D62" s="75" t="s">
        <v>246</v>
      </c>
      <c r="E62" s="75" t="s">
        <v>92</v>
      </c>
      <c r="I62" s="39">
        <v>45925</v>
      </c>
      <c r="J62" s="76" t="s">
        <v>101</v>
      </c>
      <c r="K62" s="77" t="e">
        <f t="shared" ca="1" si="0"/>
        <v>#VALUE!</v>
      </c>
      <c r="L62" s="77">
        <v>2024</v>
      </c>
      <c r="M62" s="76" t="s">
        <v>101</v>
      </c>
      <c r="T62" s="78"/>
      <c r="U62" s="78"/>
      <c r="V62" s="78"/>
      <c r="W62" s="78"/>
    </row>
    <row r="63" spans="1:23" ht="34" x14ac:dyDescent="0.2">
      <c r="A63" s="16" t="s">
        <v>234</v>
      </c>
      <c r="B63" s="7" t="s">
        <v>247</v>
      </c>
      <c r="C63" t="s">
        <v>248</v>
      </c>
      <c r="D63" t="s">
        <v>249</v>
      </c>
      <c r="E63" t="s">
        <v>26</v>
      </c>
      <c r="F63" t="s">
        <v>27</v>
      </c>
      <c r="G63" s="39">
        <v>44546</v>
      </c>
      <c r="H63">
        <v>6</v>
      </c>
      <c r="I63" s="39">
        <v>45926</v>
      </c>
      <c r="J63">
        <v>1973</v>
      </c>
      <c r="K63" s="4">
        <f t="shared" ca="1" si="0"/>
        <v>53</v>
      </c>
      <c r="L63" s="29">
        <v>2018</v>
      </c>
      <c r="M63" t="s">
        <v>244</v>
      </c>
    </row>
    <row r="64" spans="1:23" ht="34" x14ac:dyDescent="0.2">
      <c r="A64" s="16" t="s">
        <v>234</v>
      </c>
      <c r="B64" s="7" t="s">
        <v>250</v>
      </c>
      <c r="C64" t="s">
        <v>251</v>
      </c>
      <c r="D64" t="s">
        <v>252</v>
      </c>
      <c r="E64" t="s">
        <v>26</v>
      </c>
      <c r="F64" t="s">
        <v>41</v>
      </c>
      <c r="G64" s="39">
        <v>44546</v>
      </c>
      <c r="H64">
        <v>2</v>
      </c>
      <c r="I64" s="39">
        <v>45927</v>
      </c>
      <c r="J64" s="20">
        <v>1973</v>
      </c>
      <c r="K64" s="4">
        <f t="shared" ca="1" si="0"/>
        <v>53</v>
      </c>
      <c r="L64" s="29">
        <v>2018</v>
      </c>
      <c r="M64" s="20" t="s">
        <v>38</v>
      </c>
    </row>
    <row r="65" spans="1:23" ht="34" x14ac:dyDescent="0.2">
      <c r="A65" s="16" t="s">
        <v>234</v>
      </c>
      <c r="B65" s="7" t="s">
        <v>250</v>
      </c>
      <c r="C65" t="s">
        <v>75</v>
      </c>
      <c r="D65" t="s">
        <v>253</v>
      </c>
      <c r="E65" t="s">
        <v>26</v>
      </c>
      <c r="F65" t="s">
        <v>27</v>
      </c>
      <c r="G65" s="39">
        <v>44546</v>
      </c>
      <c r="H65">
        <v>7</v>
      </c>
      <c r="I65" s="39">
        <v>45928</v>
      </c>
      <c r="J65">
        <v>1968</v>
      </c>
      <c r="K65" s="4">
        <f t="shared" ca="1" si="0"/>
        <v>58</v>
      </c>
      <c r="L65" s="29">
        <v>2018</v>
      </c>
      <c r="M65" t="s">
        <v>103</v>
      </c>
    </row>
    <row r="66" spans="1:23" ht="34" x14ac:dyDescent="0.2">
      <c r="A66" s="21" t="s">
        <v>254</v>
      </c>
      <c r="B66" s="7" t="s">
        <v>255</v>
      </c>
      <c r="C66" t="s">
        <v>256</v>
      </c>
      <c r="D66" t="s">
        <v>257</v>
      </c>
      <c r="E66" t="s">
        <v>26</v>
      </c>
      <c r="F66" t="s">
        <v>27</v>
      </c>
      <c r="G66" s="39">
        <v>45901</v>
      </c>
      <c r="I66" s="39">
        <v>45929</v>
      </c>
      <c r="J66">
        <v>1972</v>
      </c>
      <c r="K66" s="4">
        <f t="shared" ca="1" si="0"/>
        <v>54</v>
      </c>
      <c r="L66" s="29">
        <v>2025</v>
      </c>
      <c r="M66" t="s">
        <v>258</v>
      </c>
      <c r="T66" s="29">
        <v>2025</v>
      </c>
    </row>
    <row r="67" spans="1:23" ht="34" x14ac:dyDescent="0.2">
      <c r="A67" s="21" t="s">
        <v>254</v>
      </c>
      <c r="B67" s="7" t="s">
        <v>259</v>
      </c>
      <c r="C67" t="s">
        <v>260</v>
      </c>
      <c r="D67" t="s">
        <v>261</v>
      </c>
      <c r="E67" t="s">
        <v>119</v>
      </c>
      <c r="F67" t="s">
        <v>119</v>
      </c>
      <c r="G67" s="79">
        <v>45901</v>
      </c>
      <c r="I67" s="39">
        <v>45930</v>
      </c>
      <c r="K67" s="4"/>
      <c r="S67">
        <v>2025</v>
      </c>
      <c r="T67" s="29">
        <v>2025</v>
      </c>
      <c r="U67" s="29" t="s">
        <v>262</v>
      </c>
    </row>
    <row r="68" spans="1:23" ht="34" x14ac:dyDescent="0.2">
      <c r="A68" s="21" t="s">
        <v>254</v>
      </c>
      <c r="B68" s="7" t="s">
        <v>259</v>
      </c>
      <c r="C68" t="s">
        <v>263</v>
      </c>
      <c r="D68" t="s">
        <v>264</v>
      </c>
      <c r="E68" t="s">
        <v>48</v>
      </c>
      <c r="F68" t="s">
        <v>88</v>
      </c>
      <c r="G68" s="39">
        <v>45170</v>
      </c>
      <c r="H68">
        <v>3</v>
      </c>
      <c r="I68" s="39">
        <v>45931</v>
      </c>
      <c r="J68">
        <v>1988</v>
      </c>
      <c r="K68" s="4">
        <f t="shared" ca="1" si="0"/>
        <v>38</v>
      </c>
      <c r="L68" s="29">
        <v>2023</v>
      </c>
      <c r="M68" t="s">
        <v>265</v>
      </c>
    </row>
    <row r="69" spans="1:23" ht="17" x14ac:dyDescent="0.2">
      <c r="A69" s="22" t="s">
        <v>266</v>
      </c>
      <c r="B69" s="7" t="s">
        <v>267</v>
      </c>
      <c r="C69" t="s">
        <v>268</v>
      </c>
      <c r="D69" t="s">
        <v>269</v>
      </c>
      <c r="E69" t="s">
        <v>26</v>
      </c>
      <c r="F69" t="s">
        <v>130</v>
      </c>
      <c r="G69" s="39">
        <v>45642</v>
      </c>
      <c r="H69">
        <v>1</v>
      </c>
      <c r="I69" s="39">
        <v>45932</v>
      </c>
      <c r="J69">
        <v>1961</v>
      </c>
      <c r="K69" s="4">
        <f t="shared" ca="1" si="0"/>
        <v>65</v>
      </c>
      <c r="L69" s="29">
        <v>2009</v>
      </c>
      <c r="M69">
        <v>2028</v>
      </c>
    </row>
    <row r="70" spans="1:23" ht="17" x14ac:dyDescent="0.2">
      <c r="A70" s="22" t="s">
        <v>266</v>
      </c>
      <c r="B70" s="7" t="s">
        <v>267</v>
      </c>
      <c r="C70" t="s">
        <v>270</v>
      </c>
      <c r="D70" t="s">
        <v>271</v>
      </c>
      <c r="E70" t="s">
        <v>26</v>
      </c>
      <c r="F70" t="s">
        <v>27</v>
      </c>
      <c r="G70" s="39">
        <v>44805</v>
      </c>
      <c r="H70">
        <v>3</v>
      </c>
      <c r="I70" s="39">
        <v>45933</v>
      </c>
      <c r="J70">
        <v>1975</v>
      </c>
      <c r="K70" s="4">
        <f t="shared" ca="1" si="0"/>
        <v>51</v>
      </c>
      <c r="L70" s="29">
        <v>2022</v>
      </c>
      <c r="M70" t="s">
        <v>272</v>
      </c>
    </row>
    <row r="71" spans="1:23" ht="17" x14ac:dyDescent="0.2">
      <c r="A71" s="22" t="s">
        <v>266</v>
      </c>
      <c r="B71" s="7" t="s">
        <v>273</v>
      </c>
      <c r="C71" t="s">
        <v>274</v>
      </c>
      <c r="D71" t="s">
        <v>275</v>
      </c>
      <c r="E71" t="s">
        <v>92</v>
      </c>
      <c r="F71" t="s">
        <v>27</v>
      </c>
      <c r="G71" s="39">
        <v>46266</v>
      </c>
      <c r="I71" s="39">
        <v>45934</v>
      </c>
      <c r="J71">
        <v>1979</v>
      </c>
      <c r="K71" s="4">
        <f t="shared" ca="1" si="0"/>
        <v>47</v>
      </c>
      <c r="L71" s="29">
        <v>2024</v>
      </c>
      <c r="M71" t="s">
        <v>276</v>
      </c>
      <c r="N71" s="4" t="s">
        <v>29</v>
      </c>
      <c r="O71" s="4" t="s">
        <v>29</v>
      </c>
      <c r="P71" s="4" t="s">
        <v>52</v>
      </c>
      <c r="Q71" s="4" t="s">
        <v>29</v>
      </c>
      <c r="S71">
        <v>2025</v>
      </c>
      <c r="T71" s="29" t="s">
        <v>98</v>
      </c>
      <c r="U71" s="61" t="s">
        <v>277</v>
      </c>
    </row>
    <row r="72" spans="1:23" ht="17" x14ac:dyDescent="0.2">
      <c r="A72" s="22" t="s">
        <v>266</v>
      </c>
      <c r="B72" s="7" t="s">
        <v>273</v>
      </c>
      <c r="C72" t="s">
        <v>278</v>
      </c>
      <c r="D72" t="s">
        <v>279</v>
      </c>
      <c r="E72" t="s">
        <v>26</v>
      </c>
      <c r="F72" t="s">
        <v>130</v>
      </c>
      <c r="G72" s="39">
        <v>44805</v>
      </c>
      <c r="H72">
        <v>1</v>
      </c>
      <c r="I72" s="39">
        <v>45935</v>
      </c>
      <c r="J72">
        <v>1969</v>
      </c>
      <c r="K72" s="4">
        <f t="shared" ca="1" si="0"/>
        <v>57</v>
      </c>
      <c r="L72" s="29">
        <v>2011</v>
      </c>
      <c r="M72" t="s">
        <v>280</v>
      </c>
    </row>
    <row r="73" spans="1:23" ht="17" x14ac:dyDescent="0.2">
      <c r="A73" s="22" t="s">
        <v>266</v>
      </c>
      <c r="B73" s="7" t="s">
        <v>281</v>
      </c>
      <c r="C73" t="s">
        <v>282</v>
      </c>
      <c r="D73" t="s">
        <v>283</v>
      </c>
      <c r="E73" t="s">
        <v>26</v>
      </c>
      <c r="F73" t="s">
        <v>41</v>
      </c>
      <c r="G73" s="39">
        <v>45170</v>
      </c>
      <c r="H73">
        <v>2</v>
      </c>
      <c r="I73" s="39">
        <v>45936</v>
      </c>
      <c r="J73">
        <v>1972</v>
      </c>
      <c r="K73" s="4">
        <f t="shared" ca="1" si="0"/>
        <v>54</v>
      </c>
      <c r="L73" s="29">
        <v>2015</v>
      </c>
      <c r="M73" t="s">
        <v>73</v>
      </c>
    </row>
    <row r="74" spans="1:23" s="93" customFormat="1" ht="17" x14ac:dyDescent="0.2">
      <c r="A74" s="104" t="s">
        <v>266</v>
      </c>
      <c r="B74" s="92" t="s">
        <v>281</v>
      </c>
      <c r="C74" s="93" t="s">
        <v>284</v>
      </c>
      <c r="D74" s="93" t="s">
        <v>123</v>
      </c>
      <c r="E74" s="93" t="s">
        <v>48</v>
      </c>
      <c r="G74" s="94">
        <v>45536</v>
      </c>
      <c r="I74" s="39">
        <v>45937</v>
      </c>
      <c r="J74" s="93">
        <v>1986</v>
      </c>
      <c r="K74" s="95">
        <f t="shared" ca="1" si="0"/>
        <v>40</v>
      </c>
      <c r="L74" s="96">
        <v>2023</v>
      </c>
      <c r="M74" s="93" t="s">
        <v>76</v>
      </c>
      <c r="T74" s="96"/>
      <c r="U74" s="96" t="s">
        <v>285</v>
      </c>
      <c r="V74" s="96"/>
      <c r="W74" s="96"/>
    </row>
    <row r="75" spans="1:23" ht="17" x14ac:dyDescent="0.2">
      <c r="A75" s="23" t="s">
        <v>286</v>
      </c>
      <c r="B75" s="7" t="s">
        <v>287</v>
      </c>
      <c r="C75" t="s">
        <v>288</v>
      </c>
      <c r="D75" t="s">
        <v>289</v>
      </c>
      <c r="E75" t="s">
        <v>26</v>
      </c>
      <c r="F75" t="s">
        <v>33</v>
      </c>
      <c r="G75" s="39">
        <v>44546</v>
      </c>
      <c r="H75">
        <v>2</v>
      </c>
      <c r="I75" s="39">
        <v>45938</v>
      </c>
      <c r="J75" s="20">
        <v>1960</v>
      </c>
      <c r="K75" s="4">
        <f t="shared" ref="K75:K93" ca="1" si="2">YEAR(NOW())-J75</f>
        <v>66</v>
      </c>
      <c r="L75" s="29">
        <v>2001</v>
      </c>
      <c r="M75" t="s">
        <v>290</v>
      </c>
    </row>
    <row r="76" spans="1:23" ht="17" x14ac:dyDescent="0.2">
      <c r="A76" s="23" t="s">
        <v>286</v>
      </c>
      <c r="B76" s="7" t="s">
        <v>287</v>
      </c>
      <c r="C76" t="s">
        <v>291</v>
      </c>
      <c r="D76" t="s">
        <v>292</v>
      </c>
      <c r="E76" t="s">
        <v>26</v>
      </c>
      <c r="F76" t="s">
        <v>27</v>
      </c>
      <c r="G76" s="39">
        <v>45536</v>
      </c>
      <c r="H76">
        <v>1</v>
      </c>
      <c r="I76" s="39">
        <v>45939</v>
      </c>
      <c r="J76">
        <v>1983</v>
      </c>
      <c r="K76" s="4">
        <f t="shared" ca="1" si="2"/>
        <v>43</v>
      </c>
      <c r="L76" s="29">
        <v>2024</v>
      </c>
      <c r="M76" t="s">
        <v>217</v>
      </c>
    </row>
    <row r="77" spans="1:23" ht="17" x14ac:dyDescent="0.2">
      <c r="A77" s="23" t="s">
        <v>286</v>
      </c>
      <c r="B77" s="7" t="s">
        <v>293</v>
      </c>
      <c r="C77" t="s">
        <v>294</v>
      </c>
      <c r="D77" t="s">
        <v>295</v>
      </c>
      <c r="E77" t="s">
        <v>92</v>
      </c>
      <c r="I77" s="39">
        <v>45940</v>
      </c>
      <c r="J77">
        <v>1978</v>
      </c>
      <c r="K77" s="4">
        <f t="shared" ca="1" si="2"/>
        <v>48</v>
      </c>
      <c r="L77" s="29">
        <v>2024</v>
      </c>
      <c r="M77" t="s">
        <v>183</v>
      </c>
    </row>
    <row r="78" spans="1:23" ht="17" x14ac:dyDescent="0.2">
      <c r="A78" s="24" t="s">
        <v>296</v>
      </c>
      <c r="B78" s="7" t="s">
        <v>297</v>
      </c>
      <c r="C78" s="63" t="s">
        <v>298</v>
      </c>
      <c r="D78" t="s">
        <v>299</v>
      </c>
      <c r="E78" t="s">
        <v>119</v>
      </c>
      <c r="G78" s="39">
        <v>45901</v>
      </c>
      <c r="I78" s="39">
        <v>46306</v>
      </c>
      <c r="J78">
        <v>1990</v>
      </c>
      <c r="K78" s="4">
        <f t="shared" ca="1" si="2"/>
        <v>36</v>
      </c>
      <c r="L78" s="29">
        <v>2026</v>
      </c>
      <c r="R78" t="s">
        <v>119</v>
      </c>
      <c r="T78" s="29" t="s">
        <v>300</v>
      </c>
      <c r="U78" s="29" t="s">
        <v>301</v>
      </c>
    </row>
    <row r="79" spans="1:23" s="36" customFormat="1" ht="17" x14ac:dyDescent="0.2">
      <c r="A79" s="34" t="s">
        <v>296</v>
      </c>
      <c r="B79" s="113" t="s">
        <v>297</v>
      </c>
      <c r="C79" s="36" t="s">
        <v>302</v>
      </c>
      <c r="D79" s="36" t="s">
        <v>303</v>
      </c>
      <c r="E79" s="36" t="s">
        <v>26</v>
      </c>
      <c r="F79" s="36" t="s">
        <v>27</v>
      </c>
      <c r="G79" s="40">
        <v>44546</v>
      </c>
      <c r="H79" s="36">
        <v>5</v>
      </c>
      <c r="I79" s="40">
        <v>45170</v>
      </c>
      <c r="J79" s="36">
        <v>1976</v>
      </c>
      <c r="K79" s="37">
        <f t="shared" ca="1" si="2"/>
        <v>50</v>
      </c>
      <c r="L79" s="37">
        <v>2020</v>
      </c>
      <c r="M79" s="36" t="s">
        <v>304</v>
      </c>
      <c r="T79" s="37"/>
      <c r="U79" s="37" t="s">
        <v>305</v>
      </c>
      <c r="V79" s="37"/>
      <c r="W79" s="37"/>
    </row>
    <row r="80" spans="1:23" ht="17" x14ac:dyDescent="0.2">
      <c r="A80" s="24" t="s">
        <v>296</v>
      </c>
      <c r="B80" s="7" t="s">
        <v>306</v>
      </c>
      <c r="C80" t="s">
        <v>307</v>
      </c>
      <c r="D80" t="s">
        <v>308</v>
      </c>
      <c r="E80" t="s">
        <v>26</v>
      </c>
      <c r="F80" t="s">
        <v>130</v>
      </c>
      <c r="G80" s="39">
        <v>44805</v>
      </c>
      <c r="H80">
        <v>1</v>
      </c>
      <c r="I80" s="39">
        <v>44805</v>
      </c>
      <c r="J80">
        <v>1966</v>
      </c>
      <c r="K80" s="4">
        <f t="shared" ca="1" si="2"/>
        <v>60</v>
      </c>
      <c r="L80" s="29">
        <v>2008</v>
      </c>
      <c r="M80" t="s">
        <v>111</v>
      </c>
    </row>
    <row r="81" spans="1:23" ht="17" x14ac:dyDescent="0.2">
      <c r="A81" s="24" t="s">
        <v>296</v>
      </c>
      <c r="B81" s="7" t="s">
        <v>306</v>
      </c>
      <c r="C81" t="s">
        <v>309</v>
      </c>
      <c r="D81" t="s">
        <v>310</v>
      </c>
      <c r="E81" t="s">
        <v>119</v>
      </c>
      <c r="J81">
        <v>1989</v>
      </c>
      <c r="K81" s="4">
        <f t="shared" ca="1" si="2"/>
        <v>37</v>
      </c>
      <c r="L81" s="29">
        <v>2026</v>
      </c>
      <c r="M81" t="s">
        <v>311</v>
      </c>
      <c r="U81" s="62" t="s">
        <v>312</v>
      </c>
    </row>
    <row r="82" spans="1:23" ht="17" x14ac:dyDescent="0.2">
      <c r="A82" s="24" t="s">
        <v>296</v>
      </c>
      <c r="B82" s="7" t="s">
        <v>313</v>
      </c>
      <c r="C82" t="s">
        <v>314</v>
      </c>
      <c r="D82" t="s">
        <v>315</v>
      </c>
      <c r="E82" t="s">
        <v>92</v>
      </c>
      <c r="I82" s="39">
        <v>46266</v>
      </c>
      <c r="J82">
        <v>1986</v>
      </c>
      <c r="K82" s="4">
        <f t="shared" ca="1" si="2"/>
        <v>40</v>
      </c>
      <c r="L82" s="29">
        <v>2024</v>
      </c>
      <c r="U82" s="62" t="s">
        <v>316</v>
      </c>
    </row>
    <row r="83" spans="1:23" ht="17" x14ac:dyDescent="0.2">
      <c r="A83" s="24" t="s">
        <v>296</v>
      </c>
      <c r="B83" s="7" t="s">
        <v>313</v>
      </c>
      <c r="C83" t="s">
        <v>317</v>
      </c>
      <c r="D83" t="s">
        <v>318</v>
      </c>
      <c r="E83" t="s">
        <v>26</v>
      </c>
      <c r="F83" t="s">
        <v>130</v>
      </c>
      <c r="G83" s="39">
        <v>45170</v>
      </c>
      <c r="H83">
        <v>1</v>
      </c>
      <c r="I83" s="39">
        <v>45170</v>
      </c>
      <c r="J83">
        <v>1961</v>
      </c>
      <c r="K83" s="4">
        <f t="shared" ca="1" si="2"/>
        <v>65</v>
      </c>
      <c r="L83" s="29">
        <v>2017</v>
      </c>
      <c r="M83" s="20" t="s">
        <v>319</v>
      </c>
    </row>
    <row r="84" spans="1:23" ht="34" x14ac:dyDescent="0.2">
      <c r="A84" s="25" t="s">
        <v>320</v>
      </c>
      <c r="B84" s="7" t="s">
        <v>321</v>
      </c>
      <c r="C84" t="s">
        <v>322</v>
      </c>
      <c r="D84" t="s">
        <v>323</v>
      </c>
      <c r="E84" t="s">
        <v>26</v>
      </c>
      <c r="F84" t="s">
        <v>130</v>
      </c>
      <c r="G84" s="39">
        <v>44805</v>
      </c>
      <c r="H84">
        <v>1</v>
      </c>
      <c r="I84" s="39">
        <v>44805</v>
      </c>
      <c r="J84">
        <v>1963</v>
      </c>
      <c r="K84" s="4">
        <f t="shared" ca="1" si="2"/>
        <v>63</v>
      </c>
      <c r="L84" s="29">
        <v>2009</v>
      </c>
      <c r="M84" t="s">
        <v>81</v>
      </c>
    </row>
    <row r="85" spans="1:23" s="55" customFormat="1" ht="34" x14ac:dyDescent="0.2">
      <c r="A85" s="58" t="s">
        <v>320</v>
      </c>
      <c r="B85" s="54" t="s">
        <v>321</v>
      </c>
      <c r="C85" s="55" t="s">
        <v>324</v>
      </c>
      <c r="D85" s="55" t="s">
        <v>325</v>
      </c>
      <c r="E85" s="55" t="s">
        <v>48</v>
      </c>
      <c r="F85" s="55" t="s">
        <v>49</v>
      </c>
      <c r="G85" s="59">
        <v>45170</v>
      </c>
      <c r="H85" s="55">
        <v>1</v>
      </c>
      <c r="I85" s="59">
        <v>45170</v>
      </c>
      <c r="J85" s="55">
        <v>1984</v>
      </c>
      <c r="K85" s="56">
        <f t="shared" ca="1" si="2"/>
        <v>42</v>
      </c>
      <c r="L85" s="57">
        <v>2023</v>
      </c>
      <c r="M85" s="55" t="s">
        <v>45</v>
      </c>
      <c r="T85" s="57"/>
      <c r="U85" s="57" t="s">
        <v>326</v>
      </c>
      <c r="V85" s="57"/>
      <c r="W85" s="57"/>
    </row>
    <row r="86" spans="1:23" ht="34" x14ac:dyDescent="0.2">
      <c r="A86" s="25" t="s">
        <v>320</v>
      </c>
      <c r="B86" s="7" t="s">
        <v>321</v>
      </c>
      <c r="C86" t="s">
        <v>327</v>
      </c>
      <c r="D86" t="s">
        <v>328</v>
      </c>
      <c r="E86" t="s">
        <v>97</v>
      </c>
      <c r="G86" s="39"/>
      <c r="I86" s="39"/>
      <c r="K86" s="4"/>
      <c r="T86" s="29" t="s">
        <v>329</v>
      </c>
      <c r="U86" s="62" t="s">
        <v>330</v>
      </c>
    </row>
    <row r="87" spans="1:23" ht="34" x14ac:dyDescent="0.2">
      <c r="A87" s="25" t="s">
        <v>320</v>
      </c>
      <c r="B87" s="7" t="s">
        <v>321</v>
      </c>
      <c r="C87" t="s">
        <v>331</v>
      </c>
      <c r="D87" t="s">
        <v>332</v>
      </c>
      <c r="E87" t="s">
        <v>48</v>
      </c>
      <c r="F87" t="s">
        <v>88</v>
      </c>
      <c r="G87" s="39">
        <v>44546</v>
      </c>
      <c r="H87">
        <v>2</v>
      </c>
      <c r="I87" s="39">
        <v>45108</v>
      </c>
      <c r="J87">
        <v>1976</v>
      </c>
      <c r="K87" s="4">
        <f t="shared" ca="1" si="2"/>
        <v>50</v>
      </c>
      <c r="L87" s="29">
        <v>2019</v>
      </c>
      <c r="M87" t="s">
        <v>158</v>
      </c>
      <c r="T87" s="29" t="s">
        <v>333</v>
      </c>
      <c r="U87" s="62" t="s">
        <v>334</v>
      </c>
    </row>
    <row r="88" spans="1:23" ht="34" x14ac:dyDescent="0.2">
      <c r="A88" s="25" t="s">
        <v>320</v>
      </c>
      <c r="B88" s="7" t="s">
        <v>335</v>
      </c>
      <c r="C88" t="s">
        <v>336</v>
      </c>
      <c r="D88" t="s">
        <v>155</v>
      </c>
      <c r="E88" t="s">
        <v>26</v>
      </c>
      <c r="F88" t="s">
        <v>130</v>
      </c>
      <c r="G88" s="39">
        <v>44546</v>
      </c>
      <c r="H88">
        <v>1</v>
      </c>
      <c r="I88" s="39">
        <v>44546</v>
      </c>
      <c r="J88">
        <v>1960</v>
      </c>
      <c r="K88" s="4">
        <f t="shared" ca="1" si="2"/>
        <v>66</v>
      </c>
      <c r="L88" s="29">
        <v>2004</v>
      </c>
      <c r="M88" s="20">
        <v>2027</v>
      </c>
      <c r="U88" s="62" t="s">
        <v>337</v>
      </c>
    </row>
    <row r="89" spans="1:23" ht="34" x14ac:dyDescent="0.2">
      <c r="A89" s="25" t="s">
        <v>320</v>
      </c>
      <c r="B89" s="7" t="s">
        <v>335</v>
      </c>
      <c r="C89" t="s">
        <v>338</v>
      </c>
      <c r="D89" t="s">
        <v>339</v>
      </c>
      <c r="E89" t="s">
        <v>26</v>
      </c>
      <c r="F89" t="s">
        <v>27</v>
      </c>
      <c r="G89" s="39">
        <v>45170</v>
      </c>
      <c r="H89">
        <v>5</v>
      </c>
      <c r="I89" s="39">
        <v>45170</v>
      </c>
      <c r="J89">
        <v>1977</v>
      </c>
      <c r="K89" s="4">
        <f t="shared" ca="1" si="2"/>
        <v>49</v>
      </c>
      <c r="L89" s="29">
        <v>2023</v>
      </c>
      <c r="M89" t="s">
        <v>28</v>
      </c>
    </row>
    <row r="90" spans="1:23" ht="34" x14ac:dyDescent="0.2">
      <c r="A90" s="25" t="s">
        <v>320</v>
      </c>
      <c r="B90" s="7" t="s">
        <v>335</v>
      </c>
      <c r="C90" t="s">
        <v>340</v>
      </c>
      <c r="D90" t="s">
        <v>69</v>
      </c>
      <c r="E90" t="s">
        <v>26</v>
      </c>
      <c r="F90" t="s">
        <v>41</v>
      </c>
      <c r="G90" s="39">
        <v>44546</v>
      </c>
      <c r="H90">
        <v>3</v>
      </c>
      <c r="I90" s="39">
        <v>44562</v>
      </c>
      <c r="J90">
        <v>1968</v>
      </c>
      <c r="K90" s="4">
        <f t="shared" ca="1" si="2"/>
        <v>58</v>
      </c>
      <c r="L90" s="29">
        <v>2011</v>
      </c>
      <c r="M90" t="s">
        <v>103</v>
      </c>
    </row>
    <row r="91" spans="1:23" s="46" customFormat="1" ht="34" x14ac:dyDescent="0.2">
      <c r="A91" s="49" t="s">
        <v>320</v>
      </c>
      <c r="B91" s="45" t="s">
        <v>335</v>
      </c>
      <c r="C91" s="46" t="s">
        <v>341</v>
      </c>
      <c r="D91" s="46" t="s">
        <v>342</v>
      </c>
      <c r="E91" s="46" t="s">
        <v>48</v>
      </c>
      <c r="F91" s="46" t="s">
        <v>88</v>
      </c>
      <c r="G91" s="50">
        <v>44805</v>
      </c>
      <c r="H91" s="46">
        <v>1</v>
      </c>
      <c r="I91" s="50">
        <v>44805</v>
      </c>
      <c r="J91" s="46">
        <v>1984</v>
      </c>
      <c r="K91" s="47">
        <f t="shared" ca="1" si="2"/>
        <v>42</v>
      </c>
      <c r="L91" s="48">
        <v>2019</v>
      </c>
      <c r="M91" s="46" t="s">
        <v>45</v>
      </c>
      <c r="T91" s="48"/>
      <c r="U91" s="62" t="s">
        <v>343</v>
      </c>
      <c r="V91" s="48" t="s">
        <v>344</v>
      </c>
      <c r="W91" s="48"/>
    </row>
    <row r="92" spans="1:23" ht="34" x14ac:dyDescent="0.2">
      <c r="A92" s="25" t="s">
        <v>320</v>
      </c>
      <c r="B92" s="7" t="s">
        <v>345</v>
      </c>
      <c r="C92" t="s">
        <v>346</v>
      </c>
      <c r="D92" t="s">
        <v>347</v>
      </c>
      <c r="E92" t="s">
        <v>97</v>
      </c>
      <c r="J92" s="20">
        <v>1982</v>
      </c>
      <c r="K92" s="4">
        <f t="shared" ca="1" si="2"/>
        <v>44</v>
      </c>
      <c r="L92" s="29">
        <v>2022</v>
      </c>
      <c r="M92" t="s">
        <v>50</v>
      </c>
      <c r="U92" s="29" t="s">
        <v>348</v>
      </c>
    </row>
    <row r="93" spans="1:23" s="111" customFormat="1" ht="17" x14ac:dyDescent="0.2">
      <c r="A93" s="105" t="s">
        <v>349</v>
      </c>
      <c r="B93" s="106" t="s">
        <v>350</v>
      </c>
      <c r="C93" s="107" t="s">
        <v>351</v>
      </c>
      <c r="D93" s="107" t="s">
        <v>352</v>
      </c>
      <c r="E93" s="107" t="s">
        <v>48</v>
      </c>
      <c r="F93" s="107" t="s">
        <v>353</v>
      </c>
      <c r="G93" s="108">
        <v>44546</v>
      </c>
      <c r="H93" s="107">
        <v>3</v>
      </c>
      <c r="I93" s="108">
        <v>44562</v>
      </c>
      <c r="J93" s="107">
        <v>1983</v>
      </c>
      <c r="K93" s="109">
        <f t="shared" ca="1" si="2"/>
        <v>43</v>
      </c>
      <c r="L93" s="109">
        <v>2019</v>
      </c>
      <c r="M93" s="110"/>
      <c r="N93" s="109" t="s">
        <v>354</v>
      </c>
      <c r="O93" s="107"/>
      <c r="P93" s="107"/>
      <c r="Q93" s="107" t="s">
        <v>355</v>
      </c>
      <c r="T93" s="112"/>
      <c r="U93" s="112"/>
      <c r="V93" s="112"/>
      <c r="W93" s="112"/>
    </row>
    <row r="94" spans="1:23" ht="34" x14ac:dyDescent="0.2">
      <c r="A94" s="26" t="s">
        <v>349</v>
      </c>
      <c r="B94" s="7" t="s">
        <v>356</v>
      </c>
      <c r="J94" s="1"/>
      <c r="K94" s="4"/>
      <c r="L94" s="30"/>
      <c r="M94" s="19"/>
      <c r="O94" s="4"/>
      <c r="P94" s="4"/>
      <c r="Q94" s="4"/>
      <c r="S94" s="4"/>
    </row>
    <row r="95" spans="1:23" x14ac:dyDescent="0.2">
      <c r="K95" s="4"/>
    </row>
  </sheetData>
  <autoFilter ref="A1:T94" xr:uid="{3EEE817D-7329-6E40-B819-05E8C3A1EFF4}"/>
  <conditionalFormatting sqref="N2:Q16">
    <cfRule type="cellIs" dxfId="11" priority="13" operator="equal">
      <formula>"Oui"</formula>
    </cfRule>
    <cfRule type="cellIs" dxfId="10" priority="14" operator="equal">
      <formula>"Non"</formula>
    </cfRule>
  </conditionalFormatting>
  <conditionalFormatting sqref="N43:Q43 T43">
    <cfRule type="cellIs" dxfId="9" priority="11" operator="equal">
      <formula>"Oui"</formula>
    </cfRule>
    <cfRule type="cellIs" dxfId="8" priority="12" operator="equal">
      <formula>"Non"</formula>
    </cfRule>
  </conditionalFormatting>
  <conditionalFormatting sqref="N71:Q71">
    <cfRule type="cellIs" dxfId="7" priority="1" operator="equal">
      <formula>"Oui"</formula>
    </cfRule>
    <cfRule type="cellIs" dxfId="6" priority="2" operator="equal">
      <formula>"Non"</formula>
    </cfRule>
  </conditionalFormatting>
  <conditionalFormatting sqref="O42">
    <cfRule type="cellIs" dxfId="5" priority="5" operator="equal">
      <formula>"Oui"</formula>
    </cfRule>
    <cfRule type="cellIs" dxfId="4" priority="6" operator="equal">
      <formula>"Non"</formula>
    </cfRule>
  </conditionalFormatting>
  <conditionalFormatting sqref="O94:Q94 S94">
    <cfRule type="cellIs" dxfId="3" priority="7" operator="equal">
      <formula>"Oui"</formula>
    </cfRule>
    <cfRule type="cellIs" dxfId="2" priority="8" operator="equal">
      <formula>"Non"</formula>
    </cfRule>
  </conditionalFormatting>
  <conditionalFormatting sqref="Q42">
    <cfRule type="cellIs" dxfId="1" priority="3" operator="equal">
      <formula>"Oui"</formula>
    </cfRule>
    <cfRule type="cellIs" dxfId="0" priority="4" operator="equal">
      <formula>"Non"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ikesCount xmlns="http://schemas.microsoft.com/sharepoint/v3" xsi:nil="true"/>
    <pf6675816e66406c997c4f8d0496ba21 xmlns="4934cf9f-0569-4f21-b451-a4a7d694f33c">
      <Terms xmlns="http://schemas.microsoft.com/office/infopath/2007/PartnerControls"/>
    </pf6675816e66406c997c4f8d0496ba21>
    <MP_UserTags xmlns="4934cf9f-0569-4f21-b451-a4a7d694f33c" xsi:nil="true"/>
    <Ratings xmlns="http://schemas.microsoft.com/sharepoint/v3" xsi:nil="true"/>
    <TaxCatchAll xmlns="4934cf9f-0569-4f21-b451-a4a7d694f33c"/>
    <LikedBy xmlns="http://schemas.microsoft.com/sharepoint/v3">
      <UserInfo>
        <DisplayName/>
        <AccountId xsi:nil="true"/>
        <AccountType/>
      </UserInfo>
    </LikedBy>
    <MP_InheritedTags xmlns="4934cf9f-0569-4f21-b451-a4a7d694f33c">((ww45)(ww40)(ww1))((ww864)(ww862)(ww860))((ww15)(ww5)(ww2))((ww26)(ww6)(ww2))((ww32)(ww10)(ww2))((ww36)(ww7)(ww2))((ww61)(ww39)(ww1))((ww5413)(ww856)(ww41)(ww1))</MP_InheritedTags>
    <RatedBy xmlns="http://schemas.microsoft.com/sharepoint/v3">
      <UserInfo>
        <DisplayName/>
        <AccountId xsi:nil="true"/>
        <AccountType/>
      </UserInfo>
    </RatedBy>
    <_dlc_DocId xmlns="4934cf9f-0569-4f21-b451-a4a7d694f33c">RS5QY7EPFVRK-911691520-29</_dlc_DocId>
    <_dlc_DocIdUrl xmlns="4934cf9f-0569-4f21-b451-a4a7d694f33c">
      <Url>https://extranet.fsef.net/projet/WS_000414/_layouts/15/DocIdRedir.aspx?ID=RS5QY7EPFVRK-911691520-29</Url>
      <Description>RS5QY7EPFVRK-911691520-29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PRO_Document" ma:contentTypeID="0x010100CACCFA2DE87B37479B155FE66686095E00ADB7B2933078A941BE2B547B54668A55" ma:contentTypeVersion="10" ma:contentTypeDescription="Crée un document." ma:contentTypeScope="" ma:versionID="b6639a684eca608c16e2a1310bb2cd9b">
  <xsd:schema xmlns:xsd="http://www.w3.org/2001/XMLSchema" xmlns:xs="http://www.w3.org/2001/XMLSchema" xmlns:p="http://schemas.microsoft.com/office/2006/metadata/properties" xmlns:ns1="http://schemas.microsoft.com/sharepoint/v3" xmlns:ns2="4934cf9f-0569-4f21-b451-a4a7d694f33c" targetNamespace="http://schemas.microsoft.com/office/2006/metadata/properties" ma:root="true" ma:fieldsID="a46c905553678ec679b4900f14bd6bcf" ns1:_="" ns2:_="">
    <xsd:import namespace="http://schemas.microsoft.com/sharepoint/v3"/>
    <xsd:import namespace="4934cf9f-0569-4f21-b451-a4a7d694f33c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pf6675816e66406c997c4f8d0496ba21" minOccurs="0"/>
                <xsd:element ref="ns2:TaxCatchAll" minOccurs="0"/>
                <xsd:element ref="ns2:TaxCatchAllLabel" minOccurs="0"/>
                <xsd:element ref="ns2:MP_UserTags" minOccurs="0"/>
                <xsd:element ref="ns2:MP_InheritedTags" minOccurs="0"/>
                <xsd:element ref="ns1:AverageRating" minOccurs="0"/>
                <xsd:element ref="ns1:RatingCount" minOccurs="0"/>
                <xsd:element ref="ns1:RatedBy" minOccurs="0"/>
                <xsd:element ref="ns1:Ratings" minOccurs="0"/>
                <xsd:element ref="ns1:LikesCount" minOccurs="0"/>
                <xsd:element ref="ns1:LikedB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AverageRating" ma:index="17" nillable="true" ma:displayName="Évaluation (0-5)" ma:decimals="2" ma:description="Valeur moyenne de toutes les évaluations envoyées" ma:internalName="AverageRating" ma:readOnly="true">
      <xsd:simpleType>
        <xsd:restriction base="dms:Number"/>
      </xsd:simpleType>
    </xsd:element>
    <xsd:element name="RatingCount" ma:index="18" nillable="true" ma:displayName="Nombre d’évaluations" ma:decimals="0" ma:description="Nombre d’évaluations envoyées" ma:internalName="RatingCount" ma:readOnly="true">
      <xsd:simpleType>
        <xsd:restriction base="dms:Number"/>
      </xsd:simpleType>
    </xsd:element>
    <xsd:element name="RatedBy" ma:index="19" nillable="true" ma:displayName="Évalué par" ma:description="Des utilisateurs ont évalué l'élément." ma:hidden="true" ma:list="UserInfo" ma:internalName="RatedBy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atings" ma:index="20" nillable="true" ma:displayName="Évaluation des utilisateurs" ma:description="Évaluation des utilisateurs pour l'élément" ma:hidden="true" ma:internalName="Ratings">
      <xsd:simpleType>
        <xsd:restriction base="dms:Note"/>
      </xsd:simpleType>
    </xsd:element>
    <xsd:element name="LikesCount" ma:index="21" nillable="true" ma:displayName="Nombre de « J'aime »" ma:internalName="LikesCount">
      <xsd:simpleType>
        <xsd:restriction base="dms:Unknown"/>
      </xsd:simpleType>
    </xsd:element>
    <xsd:element name="LikedBy" ma:index="22" nillable="true" ma:displayName="Aimé par" ma:hidden="true" ma:list="UserInfo" ma:internalName="LikedBy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cf9f-0569-4f21-b451-a4a7d694f33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eur d’ID de document" ma:description="Valeur de l’ID de document affecté à cet élément." ma:internalName="_dlc_DocId" ma:readOnly="true">
      <xsd:simpleType>
        <xsd:restriction base="dms:Text"/>
      </xsd:simpleType>
    </xsd:element>
    <xsd:element name="_dlc_DocIdUrl" ma:index="9" nillable="true" ma:displayName="ID de document" ma:description="Lien permanent vers ce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pf6675816e66406c997c4f8d0496ba21" ma:index="11" nillable="true" ma:taxonomy="true" ma:internalName="pf6675816e66406c997c4f8d0496ba21" ma:taxonomyFieldName="PRO_NatureDocument" ma:displayName="Nature de document" ma:default="" ma:fieldId="{9f667581-6e66-406c-997c-4f8d0496ba21}" ma:sspId="9b737205-6f16-4c1f-813f-c5d45a33173f" ma:termSetId="2d3111eb-0dab-4352-86ae-15b1b57c3807" ma:anchorId="25741529-9ef6-47b4-bd0b-34c8d0b2f263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Colonne Attraper tout de Taxonomie" ma:hidden="true" ma:list="{49bf0030-1710-4d7a-a24c-774946949f8b}" ma:internalName="TaxCatchAll" ma:showField="CatchAllData" ma:web="4934cf9f-0569-4f21-b451-a4a7d694f3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Colonne Attraper tout de Taxonomie1" ma:hidden="true" ma:list="{49bf0030-1710-4d7a-a24c-774946949f8b}" ma:internalName="TaxCatchAllLabel" ma:readOnly="true" ma:showField="CatchAllDataLabel" ma:web="4934cf9f-0569-4f21-b451-a4a7d694f3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P_UserTags" ma:index="15" nillable="true" ma:displayName="Tags" ma:hidden="true" ma:internalName="MP_UserTags" ma:readOnly="false">
      <xsd:simpleType>
        <xsd:restriction base="dms:Unknown"/>
      </xsd:simpleType>
    </xsd:element>
    <xsd:element name="MP_InheritedTags" ma:index="16" nillable="true" ma:displayName="Inherited Tags" ma:hidden="true" ma:internalName="MP_InheritedTags" ma:readOnly="fals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4FF43D-3F50-4D19-BDC2-E7145EB3FF3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6AFC94B4-B5D5-4D50-9B57-3F8FF5CDFB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0B205D6-E76E-428A-9B1D-AE1F6C13863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934cf9f-0569-4f21-b451-a4a7d694f33c"/>
  </ds:schemaRefs>
</ds:datastoreItem>
</file>

<file path=customXml/itemProps4.xml><?xml version="1.0" encoding="utf-8"?>
<ds:datastoreItem xmlns:ds="http://schemas.openxmlformats.org/officeDocument/2006/customXml" ds:itemID="{6F0108CF-8A78-4657-A4AC-8D5A67A13A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934cf9f-0569-4f21-b451-a4a7d694f3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TourUFrance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CNU Tour de France janvier 2026</dc:title>
  <dc:subject/>
  <dc:creator>Charles-Edouard Notredame</dc:creator>
  <cp:keywords/>
  <dc:description/>
  <cp:lastModifiedBy>Christophe Gauld</cp:lastModifiedBy>
  <cp:revision/>
  <dcterms:created xsi:type="dcterms:W3CDTF">2025-04-26T08:34:59Z</dcterms:created>
  <dcterms:modified xsi:type="dcterms:W3CDTF">2026-06-09T09:22:50Z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0x010100CACCFA2DE87B37479B155FE66686095E00ADB7B2933078A941BE2B547B54668A55</vt:lpwstr>
  </property>
  <property fmtid="{D5CDD505-2E9C-101B-9397-08002B2CF9AE}" pid="3" name="_dlc_DocIdItemGuid">
    <vt:lpwstr>a5ff2018-9879-4e8d-8f5b-adb30abd59a9</vt:lpwstr>
  </property>
  <property fmtid="{D5CDD505-2E9C-101B-9397-08002B2CF9AE}" pid="4" name="PRO_NatureDocument">
    <vt:lpwstr/>
  </property>
</Properties>
</file>